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tan.gondalia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Print_Titles" localSheetId="0">Sheet1!$1:$2</definedName>
    <definedName name="Query" localSheetId="0">Sheet1!$A$2:$K$531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3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3" i="1"/>
  <c r="K532" i="1" l="1"/>
  <c r="I532" i="1"/>
  <c r="H532" i="1"/>
  <c r="G532" i="1"/>
</calcChain>
</file>

<file path=xl/connections.xml><?xml version="1.0" encoding="utf-8"?>
<connections xmlns="http://schemas.openxmlformats.org/spreadsheetml/2006/main">
  <connection id="1" name="Connection" type="1" refreshedVersion="5" background="1" saveData="1">
    <dbPr connection="DRIVER=SQL Server;SERVER=KYC,1549;UID=DevMaster;APP=Microsoft® Query;WSID=HOACF000239;DATABASE=SETTLEMENT" command=" Exec procCPPassout '04/01/2024','08/31/2024','HOACF000239a' Select c.brcid, CONVERT(VARCHAR,M.TDATE,103) as [FIRST DATE OF TRADING], A.Chnlid,ChnlName,c.City,c.STATE ,  sum(case when TRNDATE between '04/01/2024' and '08/31/2024' then  CASE WHEN COMPANY IN (11,12,71,74) THEN FOTURNOVER +  CASE WHEN 0 = 1 THEN OPTIONTURNOVER_WITHSP ELSE OPTIONTURNOVER_WITHOUTSP END ELSE TURNOVER END  else 0 end)/1 as [1stYear  Turn.], sum(case when TRNDATE between '04/01/2024' and '08/31/2024'then BrokAmt else 0 end)/1 as [1stYear  Brok.], isnull(([1ST YEAR BSECASH CPPASSOUT] + [1ST YEAR NSECASH CPPASSOUT] +[1ST YEAR BSEFO CPPASSOUT]+  [1ST YEAR NSEFO CPPASSOUT] +[1ST YEAR NCDEX CPPASSOUT]+[1ST YEAR MSFL_NCDEX CPPASSOUT]+[1ST YEAR MCX CPPASSOUT]+[1ST YEAR MSFL_MCX CPPASSOUT]+[1ST YEAR CURR.NSE CPPASSOUT]+[1ST YEAR CURR.BSE CPPASSOUT]+ [1ST YEAR CURR.MCX CPPASSOUT] + [1ST YEAR NSESLB CPPASSOUT]+ [1ST YEAR BSESLB CPPASSOUT]),0.00) /1 AS [1ST YEAR CPPASSOUT] , case when sum(case when TRNDATE between '04/01/2024' and '08/31/2024' then  CASE WHEN COMPANY IN (11,12,71,74) THEN FOTURNOVER +  CASE WHEN 0 = 1 THEN OPTIONTURNOVER_WITHSP ELSE OPTIONTURNOVER_WITHOUTSP END ELSE TURNOVER END  else 0 end)/1 = 0 then 0 else ( sum(case when TRNDATE between '04/01/2024' and '08/31/2024'then BrokAmt else 0 end)/1)/ (sum(case when TRNDATE between '04/01/2024' and '08/31/2024'then  CASE WHEN COMPANY IN (11,12,71,74) THEN FOTURNOVER +  CASE WHEN 0 = 1 THEN OPTIONTURNOVER_WITHSP ELSE OPTIONTURNOVER_WITHOUTSP END ELSE TURNOVER END  else 0 end)/1)*100 end as [1stYear  Yield]  FROM ViewDailyTurnoverBrokerage a join viewparties p on a.accountcode = p.pcode join channels c on A.chnlid = c.chnlid   LEFT JOIN (SELECT CHNLID,BUSINESSSTARTDATE AS TDATE FROM CHANNELS) AS  M ON M.CHNLID=C.CHNLID        LEFT JOIN ( SELECT M.CHNLID, CASE WHEN A.BSECASH_CPPASSOUT IS NULL THEN 0 ELSE A.BSECASH_CPPASSOUT END [1ST YEAR BSECASH CPPASSOUT] , CASE WHEN A.NSECASH_CPPASSOUT IS NULL THEN 0 ELSE A.NSECASH_CPPASSOUT END  [1ST YEAR NSECASH CPPASSOUT], CASE WHEN A.BSEFO_CPPASSOUT IS NULL THEN 0 ELSE A.BSEFO_CPPASSOUT END  [1ST YEAR BSEFO CPPASSOUT], CASE WHEN A.NSEFO_CPPASSOUT IS NULL THEN 0 ELSE A.NSEFO_CPPASSOUT  END [1ST YEAR NSEFO CPPASSOUT], CASE WHEN A.NCDEX_CPPASSOUT IS NULL THEN 0 ELSE A.NCDEX_CPPASSOUT END  [1ST YEAR NCDEX CPPASSOUT], CASE WHEN A.MSFL_NCDEX_CPPASSOUT IS NULL THEN 0 ELSE A.MSFL_NCDEX_CPPASSOUT END  [1ST YEAR MSFL_NCDEX CPPASSOUT], CASE WHEN A.MCX_CPPASSOUT IS NULL THEN 0 ELSE A.MCX_CPPASSOUT END [1ST YEAR MCX CPPASSOUT], CASE WHEN A.MSFL_MCX_CPPASSOUT IS NULL THEN 0 ELSE A.MSFL_MCX_CPPASSOUT END [1ST YEAR MSFL_MCX CPPASSOUT] ,CASE WHEN A.CURR_NSE_CPPASSOUT IS NULL THEN 0 ELSE A.CURR_NSE_CPPASSOUT  END  [1ST YEAR CURR.NSE CPPASSOUT], CASE WHEN A.CURR_BSE_CPPASSOUT IS NULL THEN 0 ELSE A.CURR_BSE_CPPASSOUT END  [1ST YEAR CURR.BSE CPPASSOUT], CASE WHEN A.CURR_MCX_CPPASSOUT IS NULL THEN 0 ELSE A.CURR_MCX_CPPASSOUT END [1ST YEAR CURR.MCX CPPASSOUT] ,CASE WHEN A.NSESLB_CPPASSOUT IS NULL THEN 0 ELSE A.NSESLB_CPPASSOUT END [1ST YEAR NSESLB CPPASSOUT] ,CASE WHEN A.BSESLB_CPPASSOUT IS NULL THEN 0 ELSE A.BSESLB_CPPASSOUT END [1ST YEAR BSESLB CPPASSOUT] FROM  (    SELECT CHNLID FROM TEST.._CPPASSOUTHOACF000239A A  ) AS M  LEFT JOIN TEST.._CPPASSOUTHOACF000239A A  ON M.CHNLID = A.CHNLID  ) Y ON A.CHNLID = Y.CHNLID    where ((A.chnlid in(select chnlid from channeltemp)) AND ( c.city in(select city from citytemp) )) and ( ( TRNDATE &gt;= '04/01/2024' and TRNDATE &lt;=  '08/31/2024' ) )      AND a.ChnlID IN (SELECT CHNLID FROM Channels WHERE brcid IN (SELECT brcid FROM Channels WHERE ISNULL(CLUSTERID,0) = CASE WHEN 0 = 0 THEN ISNULL(CLUSTERID,0) ELSE 0 END))   group by c.brcid,M.TDATE,A.Chnlid,ChnlName,c.City,c.STATE  ,[1ST YEAR BSECASH CPPASSOUT] , [1ST YEAR NSECASH CPPASSOUT] ,[1ST YEAR BSEFO CPPASSOUT],  [1ST YEAR NSEFO CPPASSOUT] ,[1ST YEAR NCDEX CPPASSOUT],[1ST YEAR MSFL_NCDEX CPPASSOUT],[1ST YEAR MCX CPPASSOUT],[1ST YEAR MSFL_MCX CPPASSOUT],[1ST YEAR CURR.NSE CPPASSOUT],[1ST YEAR CURR.BSE CPPASSOUT], [1ST YEAR CURR.MCX CPPASSOUT] ,[1ST YEAR NSESLB CPPASSOUT], [1ST YEAR BSESLB CPPASSOUT]  having (case when sum(case when TRNDATE between '04/01/2024' and '08/31/2024' then DelTurnOver else 0 end)/1 = 0 then 0 else (sum(case when TRNDATE between '04/01/2024' and '08/31/2024' then delBROK else 0 end)/1)/ (sum(case when TRNDATE between '04/01/2024' and '08/31/2024' then DelTurnOver else 0 end)/1)*100 end &gt;= 0  or case when sum(case when TRNDATE between '04/01/2024' and '08/31/2024' then SqTurnOver else 0 end)/1 = 0 then 0 else (sum(case when TRNDATE between '04/01/2024' and '08/31/2024' then SqBROK else 0 end)/1)/ (sum(case when TRNDATE between '04/01/2024' and '08/31/2024' then SqTurnOver else 0 end)/1)*100 end &gt;= 0)  order by c.brcid, [1stYear  Turn.] desc  "/>
  </connection>
</connections>
</file>

<file path=xl/sharedStrings.xml><?xml version="1.0" encoding="utf-8"?>
<sst xmlns="http://schemas.openxmlformats.org/spreadsheetml/2006/main" count="3187" uniqueCount="1639">
  <si>
    <t>FIRST DATE OF TRADING</t>
  </si>
  <si>
    <t>City</t>
  </si>
  <si>
    <t>A1F</t>
  </si>
  <si>
    <t>29/07/2020</t>
  </si>
  <si>
    <t>MSFL-RAJKOT (FIRST FLOOR) CENTRALIZED ADVISORY</t>
  </si>
  <si>
    <t>RAJKOT</t>
  </si>
  <si>
    <t>GUJARAT</t>
  </si>
  <si>
    <t>A1G</t>
  </si>
  <si>
    <t>17/06/2019</t>
  </si>
  <si>
    <t>MSFL-RAJKOT (GROUND FLOOR)</t>
  </si>
  <si>
    <t>30/03/2011</t>
  </si>
  <si>
    <t>RR9</t>
  </si>
  <si>
    <t>SHRADHDHA P CHANDANI</t>
  </si>
  <si>
    <t>A1H</t>
  </si>
  <si>
    <t>08/03/2018</t>
  </si>
  <si>
    <t>MSFL-RAJKOT (FIFTH FLOOR)</t>
  </si>
  <si>
    <t>AA</t>
  </si>
  <si>
    <t>01/04/2005</t>
  </si>
  <si>
    <t>MSFL - MUMBAI - ANDHERI (EAST)</t>
  </si>
  <si>
    <t>MUMBAI</t>
  </si>
  <si>
    <t>MAHARASHTRA</t>
  </si>
  <si>
    <t>15/11/2006</t>
  </si>
  <si>
    <t>AA9</t>
  </si>
  <si>
    <t>UMANG M. SHAH</t>
  </si>
  <si>
    <t>09/07/2007</t>
  </si>
  <si>
    <t>MB8</t>
  </si>
  <si>
    <t>VISION SECURITIES</t>
  </si>
  <si>
    <t>13/08/2007</t>
  </si>
  <si>
    <t>MB9</t>
  </si>
  <si>
    <t>JAY ANANTRAI SHAH</t>
  </si>
  <si>
    <t>29/12/2014</t>
  </si>
  <si>
    <t>AA7Z</t>
  </si>
  <si>
    <t>RUSHABH INVESTMENTS</t>
  </si>
  <si>
    <t>02/01/2007</t>
  </si>
  <si>
    <t>MB1</t>
  </si>
  <si>
    <t>BAKUL ANOPCHAND SANGHAVI</t>
  </si>
  <si>
    <t>04/11/2010</t>
  </si>
  <si>
    <t>MAA4</t>
  </si>
  <si>
    <t>DAXABEN DEEPAK SHAH</t>
  </si>
  <si>
    <t>21/02/2022</t>
  </si>
  <si>
    <t>MAB4</t>
  </si>
  <si>
    <t>MITESH SHASHIKANT ZOBALIA</t>
  </si>
  <si>
    <t>15/06/2007</t>
  </si>
  <si>
    <t>MB6</t>
  </si>
  <si>
    <t>BHAVINI MEHUL VASANI</t>
  </si>
  <si>
    <t>19/11/2008</t>
  </si>
  <si>
    <t>MU7Z</t>
  </si>
  <si>
    <t>RUPAL DEVANG SHAH</t>
  </si>
  <si>
    <t>23/02/2021</t>
  </si>
  <si>
    <t>ME1</t>
  </si>
  <si>
    <t>JIGNESH RAMESH DODIYA</t>
  </si>
  <si>
    <t>09/12/2021</t>
  </si>
  <si>
    <t>MAB3Z</t>
  </si>
  <si>
    <t>FORAM SWAROOP SHAH</t>
  </si>
  <si>
    <t>SURENDRANAGAR</t>
  </si>
  <si>
    <t>23/06/2022</t>
  </si>
  <si>
    <t>MAB5</t>
  </si>
  <si>
    <t>VISIONARY FINSULTANTS</t>
  </si>
  <si>
    <t>THANE</t>
  </si>
  <si>
    <t>13/02/2012</t>
  </si>
  <si>
    <t>MAA6</t>
  </si>
  <si>
    <t>DHIREN NAGJI CHHEDA</t>
  </si>
  <si>
    <t>24/06/2021</t>
  </si>
  <si>
    <t>MB6Z</t>
  </si>
  <si>
    <t>MEHUL N VASANI</t>
  </si>
  <si>
    <t>18/04/2007</t>
  </si>
  <si>
    <t>MB4</t>
  </si>
  <si>
    <t>DHVANI RAJNIBHAI SHAH</t>
  </si>
  <si>
    <t>ABR1</t>
  </si>
  <si>
    <t>15/02/2017</t>
  </si>
  <si>
    <t>MSFL-ABU ROAD</t>
  </si>
  <si>
    <t>ABU ROAD</t>
  </si>
  <si>
    <t>RAJASTHAN</t>
  </si>
  <si>
    <t>AD1</t>
  </si>
  <si>
    <t>18/05/2007</t>
  </si>
  <si>
    <t>MSFL-AHMEDABAD (MANINAGAR)</t>
  </si>
  <si>
    <t>AHMEDABAD</t>
  </si>
  <si>
    <t>06/07/2007</t>
  </si>
  <si>
    <t>AD2</t>
  </si>
  <si>
    <t>HIREN KUNJBIHARI MEHTA</t>
  </si>
  <si>
    <t>26/10/2007</t>
  </si>
  <si>
    <t>AD6</t>
  </si>
  <si>
    <t>SONAL P JAIN</t>
  </si>
  <si>
    <t>13/12/2007</t>
  </si>
  <si>
    <t>AG4</t>
  </si>
  <si>
    <t>MANSURI MOHSIN GULAMHUSEN</t>
  </si>
  <si>
    <t>AF1</t>
  </si>
  <si>
    <t>16/06/2023</t>
  </si>
  <si>
    <t>AFH2</t>
  </si>
  <si>
    <t>DHAIRYAA INDUSTRIES</t>
  </si>
  <si>
    <t>17/12/2007</t>
  </si>
  <si>
    <t>MSFL-AHMEDABAD (C.G.ROAD)</t>
  </si>
  <si>
    <t>17/11/2005</t>
  </si>
  <si>
    <t>AB1</t>
  </si>
  <si>
    <t>BLISS FINSTOCK PVT. LTD.</t>
  </si>
  <si>
    <t>25/05/2006</t>
  </si>
  <si>
    <t>AI5</t>
  </si>
  <si>
    <t>MUKESH VRAJLAL HALANI</t>
  </si>
  <si>
    <t>AMBLI</t>
  </si>
  <si>
    <t>04/11/2020</t>
  </si>
  <si>
    <t>AFG1</t>
  </si>
  <si>
    <t>SHARMA KALPA DIPAKKUMAR</t>
  </si>
  <si>
    <t>AH5</t>
  </si>
  <si>
    <t>LOTUS COMMODITIES</t>
  </si>
  <si>
    <t>01/11/2011</t>
  </si>
  <si>
    <t>AI8Z</t>
  </si>
  <si>
    <t>SAMRAJYA INVESTMENT</t>
  </si>
  <si>
    <t>GANDHINAGAR</t>
  </si>
  <si>
    <t>03/12/2010</t>
  </si>
  <si>
    <t>AFC2Z</t>
  </si>
  <si>
    <t>HETAL SANDIPKUMAR SHAH</t>
  </si>
  <si>
    <t>18/04/2018</t>
  </si>
  <si>
    <t>AFF4</t>
  </si>
  <si>
    <t>ARTH INVESTMENT</t>
  </si>
  <si>
    <t>11/05/2013</t>
  </si>
  <si>
    <t>AH7Z</t>
  </si>
  <si>
    <t>SHEELADEVI OMPRAKASH CHOPRA</t>
  </si>
  <si>
    <t>04/09/2007</t>
  </si>
  <si>
    <t>AC4</t>
  </si>
  <si>
    <t>PRANAV SHAH</t>
  </si>
  <si>
    <t>28/10/2005</t>
  </si>
  <si>
    <t>AI4</t>
  </si>
  <si>
    <t>HIREN MAHIDAS BHADJA</t>
  </si>
  <si>
    <t>23/01/2017</t>
  </si>
  <si>
    <t>AFD7Z</t>
  </si>
  <si>
    <t>VIPUL DHIRAJLAL SHAH</t>
  </si>
  <si>
    <t>04/10/2010</t>
  </si>
  <si>
    <t>NS8Z</t>
  </si>
  <si>
    <t>MANOJ K. RAVAL</t>
  </si>
  <si>
    <t>VIRAMGAM</t>
  </si>
  <si>
    <t>19/04/2017</t>
  </si>
  <si>
    <t>AFF3</t>
  </si>
  <si>
    <t>PRANAY HEMANTKUMAR SHAH</t>
  </si>
  <si>
    <t>11/11/2020</t>
  </si>
  <si>
    <t>AFG5</t>
  </si>
  <si>
    <t>DAKSHESH DAYALJIBHAI PATEL</t>
  </si>
  <si>
    <t>22/07/2011</t>
  </si>
  <si>
    <t>AFD4</t>
  </si>
  <si>
    <t>HIRAL AMIT CHOKSI</t>
  </si>
  <si>
    <t>29/09/2022</t>
  </si>
  <si>
    <t>AFF7Y</t>
  </si>
  <si>
    <t>HARDIK SHAILESHBHAI MANDLIYA</t>
  </si>
  <si>
    <t>14/01/2022</t>
  </si>
  <si>
    <t>AFG8</t>
  </si>
  <si>
    <t>PRATIKSHA RAXIT JOSHI</t>
  </si>
  <si>
    <t>22/05/2018</t>
  </si>
  <si>
    <t>AFF5</t>
  </si>
  <si>
    <t>SACHINKUMAR RATILAL PATEL</t>
  </si>
  <si>
    <t>MORVA</t>
  </si>
  <si>
    <t>29/09/2011</t>
  </si>
  <si>
    <t>AFD5</t>
  </si>
  <si>
    <t>MIHIR DINESHBHAI SHAH</t>
  </si>
  <si>
    <t>23/07/2015</t>
  </si>
  <si>
    <t>AFE8</t>
  </si>
  <si>
    <t>AMRISH KANTILAL PANDYA</t>
  </si>
  <si>
    <t>18/11/2020</t>
  </si>
  <si>
    <t>AFG4</t>
  </si>
  <si>
    <t>BHALALA TUSHAR BIPINCHANDRA</t>
  </si>
  <si>
    <t>03/07/2015</t>
  </si>
  <si>
    <t>AFE6</t>
  </si>
  <si>
    <t>JAYVIJAY COMMUNICATION</t>
  </si>
  <si>
    <t>DHOLKA</t>
  </si>
  <si>
    <t>26/05/2022</t>
  </si>
  <si>
    <t>AFG9</t>
  </si>
  <si>
    <t>AVANI DHILAN MODI</t>
  </si>
  <si>
    <t>18/08/2016</t>
  </si>
  <si>
    <t>AFF2</t>
  </si>
  <si>
    <t>KAUSHAL JAYESHBHAI SHAH</t>
  </si>
  <si>
    <t>AM1</t>
  </si>
  <si>
    <t>MARVELLOUS GLOBAL INC.</t>
  </si>
  <si>
    <t>12/12/2022</t>
  </si>
  <si>
    <t>AFH1</t>
  </si>
  <si>
    <t>AMISHABEN VIRALBHAI DOSHI</t>
  </si>
  <si>
    <t>24/02/2014</t>
  </si>
  <si>
    <t>AFE4</t>
  </si>
  <si>
    <t>DHARMESH P. SAFI</t>
  </si>
  <si>
    <t>25/05/2011</t>
  </si>
  <si>
    <t>AFD2</t>
  </si>
  <si>
    <t>VIRAL ARVINDBHAI SHAH</t>
  </si>
  <si>
    <t>19/01/2022</t>
  </si>
  <si>
    <t>AHM6Y</t>
  </si>
  <si>
    <t>YASHVANTRAY BHAGAVATPRASAD SHAH</t>
  </si>
  <si>
    <t>SIDHPUR</t>
  </si>
  <si>
    <t>10/08/2007</t>
  </si>
  <si>
    <t>AHM7</t>
  </si>
  <si>
    <t>EKTA INVESTMENT SERVICES</t>
  </si>
  <si>
    <t>AFD3</t>
  </si>
  <si>
    <t>JIGNABEN PARIMAL MODI</t>
  </si>
  <si>
    <t>27/11/2013</t>
  </si>
  <si>
    <t>AFD8</t>
  </si>
  <si>
    <t>ROHAN JITENDRA MEHTA</t>
  </si>
  <si>
    <t>KOLKATA</t>
  </si>
  <si>
    <t>WEST BENGAL</t>
  </si>
  <si>
    <t>AH1</t>
  </si>
  <si>
    <t>21/06/2005</t>
  </si>
  <si>
    <t>AM8</t>
  </si>
  <si>
    <t>JIGNESH VALCHANDBHAI SHAH</t>
  </si>
  <si>
    <t>MSFL-AHMEDABAD (PANJARAPORE)</t>
  </si>
  <si>
    <t>AH9</t>
  </si>
  <si>
    <t>SANJAY ROCHIRAM VIDHANI</t>
  </si>
  <si>
    <t>09/06/2005</t>
  </si>
  <si>
    <t>AM5</t>
  </si>
  <si>
    <t>HEMANGINI KAMLESH SHAH</t>
  </si>
  <si>
    <t>AJ1</t>
  </si>
  <si>
    <t>02/03/2010</t>
  </si>
  <si>
    <t>MSFL-AHMEDABAD (BAPUNAGAR)</t>
  </si>
  <si>
    <t>AMR1</t>
  </si>
  <si>
    <t>J3</t>
  </si>
  <si>
    <t>JAGDIP HARKISHANDAS PAREKH</t>
  </si>
  <si>
    <t>AMRELI</t>
  </si>
  <si>
    <t>18/08/2008</t>
  </si>
  <si>
    <t>MSFL-AMRELI</t>
  </si>
  <si>
    <t>J5</t>
  </si>
  <si>
    <t>N.J.SECURITIES</t>
  </si>
  <si>
    <t>28/11/2016</t>
  </si>
  <si>
    <t>JC6</t>
  </si>
  <si>
    <t>NIHARIKABEN V. SAVALIYA</t>
  </si>
  <si>
    <t>JA1</t>
  </si>
  <si>
    <t>MANISH SHANTILAL ZINZUVADIA</t>
  </si>
  <si>
    <t>12/12/2005</t>
  </si>
  <si>
    <t>JC2</t>
  </si>
  <si>
    <t>HITESH HARIBHAI BHUVA</t>
  </si>
  <si>
    <t>VADIYA</t>
  </si>
  <si>
    <t>J6</t>
  </si>
  <si>
    <t>BHAVIN BIPINBHAI SAMPAT</t>
  </si>
  <si>
    <t>13/12/2021</t>
  </si>
  <si>
    <t>AMR4</t>
  </si>
  <si>
    <t>NILESH MOHANBHAI RAMANI</t>
  </si>
  <si>
    <t>AN1</t>
  </si>
  <si>
    <t>15/12/2010</t>
  </si>
  <si>
    <t>AO4Z</t>
  </si>
  <si>
    <t>AKSHAR INVESTMENT</t>
  </si>
  <si>
    <t>BORSAD</t>
  </si>
  <si>
    <t>MSFL-ANAND</t>
  </si>
  <si>
    <t>ANAND</t>
  </si>
  <si>
    <t>AN4</t>
  </si>
  <si>
    <t>CHIRAG RAMESHBHAI THAKKAR</t>
  </si>
  <si>
    <t>05/02/2010</t>
  </si>
  <si>
    <t>ANA2</t>
  </si>
  <si>
    <t>RITESH RAMESHBHAI PATEL</t>
  </si>
  <si>
    <t>PETLAD</t>
  </si>
  <si>
    <t>17/08/2015</t>
  </si>
  <si>
    <t>ANA5</t>
  </si>
  <si>
    <t>SUNILKUMAR RAMANBHAI THAKKAR</t>
  </si>
  <si>
    <t>21/01/2008</t>
  </si>
  <si>
    <t>AO8</t>
  </si>
  <si>
    <t>RINABEN HITESHKUMAR MISTRY</t>
  </si>
  <si>
    <t>ANK1</t>
  </si>
  <si>
    <t>09/02/2015</t>
  </si>
  <si>
    <t>MSFL-ANKLESHWAR (GIDC ROAD)</t>
  </si>
  <si>
    <t>ANKLESHWAR</t>
  </si>
  <si>
    <t>21/09/2021</t>
  </si>
  <si>
    <t>ANK3</t>
  </si>
  <si>
    <t>GROW MORE FINANCIAL SERVICES</t>
  </si>
  <si>
    <t>AQ1</t>
  </si>
  <si>
    <t>12/05/2010</t>
  </si>
  <si>
    <t>MSFL-AHMEDABAD (VASNA)</t>
  </si>
  <si>
    <t>AW1</t>
  </si>
  <si>
    <t>14/11/2005</t>
  </si>
  <si>
    <t>MSFL-ANKLESHWAR</t>
  </si>
  <si>
    <t>05/03/2007</t>
  </si>
  <si>
    <t>AK1</t>
  </si>
  <si>
    <t>PERFECT FINANCIAL SERVICES</t>
  </si>
  <si>
    <t>07/05/2007</t>
  </si>
  <si>
    <t>AW7</t>
  </si>
  <si>
    <t>OM SAI INVESTMENT</t>
  </si>
  <si>
    <t>22/05/2017</t>
  </si>
  <si>
    <t>AW3Z</t>
  </si>
  <si>
    <t>JINAL INVESTMENT</t>
  </si>
  <si>
    <t>12/10/2007</t>
  </si>
  <si>
    <t>AW9</t>
  </si>
  <si>
    <t>GROWTH PLUS INVESTMENT</t>
  </si>
  <si>
    <t>06/11/2006</t>
  </si>
  <si>
    <t>AW4</t>
  </si>
  <si>
    <t>DHANLAXMI INVESTMENT</t>
  </si>
  <si>
    <t>AX1</t>
  </si>
  <si>
    <t>04/06/2013</t>
  </si>
  <si>
    <t>MSFL-AHMEDABAD (CHANDKHEDA)</t>
  </si>
  <si>
    <t>AY1</t>
  </si>
  <si>
    <t>30/06/2014</t>
  </si>
  <si>
    <t>MSFL-AHMEDABAD (GURUKUL)</t>
  </si>
  <si>
    <t>19/09/2018</t>
  </si>
  <si>
    <t>AFF6</t>
  </si>
  <si>
    <t>AVANI VISHALKUMAR PATEL</t>
  </si>
  <si>
    <t>03/09/2021</t>
  </si>
  <si>
    <t>AFG7</t>
  </si>
  <si>
    <t>JIGAR MAHENDRA SHAH</t>
  </si>
  <si>
    <t>AZ1</t>
  </si>
  <si>
    <t>01/08/2014</t>
  </si>
  <si>
    <t>MSFL-AHMEDABAD (NEW CLOTH MARKET)</t>
  </si>
  <si>
    <t>AZA1</t>
  </si>
  <si>
    <t>25/11/2016</t>
  </si>
  <si>
    <t>MSFL-AHMEDABAD (NARANPURA)</t>
  </si>
  <si>
    <t>AZB1</t>
  </si>
  <si>
    <t>27/05/2022</t>
  </si>
  <si>
    <t>MSFL-AHMEDABAD (VASTRAL)</t>
  </si>
  <si>
    <t>BA</t>
  </si>
  <si>
    <t>17/05/2010</t>
  </si>
  <si>
    <t>BB7</t>
  </si>
  <si>
    <t>PARAGON BROKING PVT. LTD.</t>
  </si>
  <si>
    <t>23/02/2007</t>
  </si>
  <si>
    <t>BR3</t>
  </si>
  <si>
    <t>REKHABEN RAMESHBHAI BHUT</t>
  </si>
  <si>
    <t>19/05/2017</t>
  </si>
  <si>
    <t>BB8</t>
  </si>
  <si>
    <t>VIMAL TANK</t>
  </si>
  <si>
    <t>05/07/2007</t>
  </si>
  <si>
    <t>BR5</t>
  </si>
  <si>
    <t>RAMANI MAHESH KURJIBHAI</t>
  </si>
  <si>
    <t>22/02/2007</t>
  </si>
  <si>
    <t>BR2</t>
  </si>
  <si>
    <t>NAITIK JAYANTBHAI MEHTA</t>
  </si>
  <si>
    <t>PALITANA</t>
  </si>
  <si>
    <t>06/07/2005</t>
  </si>
  <si>
    <t>BA2</t>
  </si>
  <si>
    <t>SHILPA KAUSHIKBHAI MALANI</t>
  </si>
  <si>
    <t>18/10/2023</t>
  </si>
  <si>
    <t>BB9</t>
  </si>
  <si>
    <t>MAHMADHUSEN AMADBHAI MAKRANI</t>
  </si>
  <si>
    <t>SDA1</t>
  </si>
  <si>
    <t>ALPESH DAYABHAI SANKHAVARA</t>
  </si>
  <si>
    <t>29/08/2007</t>
  </si>
  <si>
    <t>SD9</t>
  </si>
  <si>
    <t>PATEL DARSHAN CHAMANLAL</t>
  </si>
  <si>
    <t>BD</t>
  </si>
  <si>
    <t>RG1</t>
  </si>
  <si>
    <t>RAJVI INTERNATIONAL</t>
  </si>
  <si>
    <t>16/07/2007</t>
  </si>
  <si>
    <t>BE8</t>
  </si>
  <si>
    <t>RAJABHAI GORDHANDAS HINDUJA</t>
  </si>
  <si>
    <t>20/03/2014</t>
  </si>
  <si>
    <t>RG9Z</t>
  </si>
  <si>
    <t>M. R. SECURITIES</t>
  </si>
  <si>
    <t>21/05/2021</t>
  </si>
  <si>
    <t>RG6Z</t>
  </si>
  <si>
    <t>PARAS PRAVINCHANDRA BHUVA</t>
  </si>
  <si>
    <t>28/09/2005</t>
  </si>
  <si>
    <t>BE3</t>
  </si>
  <si>
    <t>SHAILESH RAMANLAL SHAH</t>
  </si>
  <si>
    <t>09/12/2005</t>
  </si>
  <si>
    <t>RG7</t>
  </si>
  <si>
    <t>OM SHREE SHARES &amp; COMMODITIES</t>
  </si>
  <si>
    <t>15/07/2005</t>
  </si>
  <si>
    <t>RG3</t>
  </si>
  <si>
    <t>AJAY CHIMANLAL TANNA</t>
  </si>
  <si>
    <t>BD1</t>
  </si>
  <si>
    <t>04/04/2005</t>
  </si>
  <si>
    <t>BARODA</t>
  </si>
  <si>
    <t>03/12/2019</t>
  </si>
  <si>
    <t>BDB4</t>
  </si>
  <si>
    <t>JAS CORPORATION</t>
  </si>
  <si>
    <t>VADODARA</t>
  </si>
  <si>
    <t>17/12/2020</t>
  </si>
  <si>
    <t>ANK2</t>
  </si>
  <si>
    <t>KRISHNAKANT SHANTILAL MAPARA</t>
  </si>
  <si>
    <t>RAJPIPLA</t>
  </si>
  <si>
    <t>BH1</t>
  </si>
  <si>
    <t>MSFL-BHARUCH</t>
  </si>
  <si>
    <t>BHARUCH</t>
  </si>
  <si>
    <t>02/07/2021</t>
  </si>
  <si>
    <t>BH7</t>
  </si>
  <si>
    <t>FENIL JAYESHBHAI SHAH</t>
  </si>
  <si>
    <t>BHUJ</t>
  </si>
  <si>
    <t>L2</t>
  </si>
  <si>
    <t>VAIBHAV FINSTOCK PRIVATE LIMITED</t>
  </si>
  <si>
    <t>02/05/2005</t>
  </si>
  <si>
    <t>L5</t>
  </si>
  <si>
    <t>LABH INVESTMENT</t>
  </si>
  <si>
    <t>21/09/2012</t>
  </si>
  <si>
    <t>LA1Z</t>
  </si>
  <si>
    <t>M. M. INVESTMENT</t>
  </si>
  <si>
    <t>15/04/2013</t>
  </si>
  <si>
    <t>L4Z</t>
  </si>
  <si>
    <t>POOJA CONSULTANCY</t>
  </si>
  <si>
    <t>01/11/2007</t>
  </si>
  <si>
    <t>LA5</t>
  </si>
  <si>
    <t>PRAGNA FINANCE</t>
  </si>
  <si>
    <t>02/05/2016</t>
  </si>
  <si>
    <t>BJ1Z</t>
  </si>
  <si>
    <t>MANSUKH GOPALJIBHAI THACKER</t>
  </si>
  <si>
    <t>03/09/2010</t>
  </si>
  <si>
    <t>LAB2</t>
  </si>
  <si>
    <t>PRATIK SURYAKANT SHAH</t>
  </si>
  <si>
    <t>04/07/2008</t>
  </si>
  <si>
    <t>LAA2</t>
  </si>
  <si>
    <t>PAREKH INVESTMENT</t>
  </si>
  <si>
    <t>BM1</t>
  </si>
  <si>
    <t>24/10/2007</t>
  </si>
  <si>
    <t>MSFL-BILIMORA</t>
  </si>
  <si>
    <t>BILIMORA</t>
  </si>
  <si>
    <t>BN1</t>
  </si>
  <si>
    <t>02/04/2013</t>
  </si>
  <si>
    <t>MSFL-BHAVNAGAR (WAGHAWADI)</t>
  </si>
  <si>
    <t>BHAVNAGAR</t>
  </si>
  <si>
    <t>BRD1</t>
  </si>
  <si>
    <t>25/11/2014</t>
  </si>
  <si>
    <t>MSFL-BARODA(O.P.ROAD)</t>
  </si>
  <si>
    <t>15/03/2021</t>
  </si>
  <si>
    <t>BRD9</t>
  </si>
  <si>
    <t>PALLAVI PARESH VAIDYA</t>
  </si>
  <si>
    <t>12/02/2021</t>
  </si>
  <si>
    <t>BRD8</t>
  </si>
  <si>
    <t>BHAVESH CHANDUBHAI PATEL</t>
  </si>
  <si>
    <t>D1</t>
  </si>
  <si>
    <t>05/03/2012</t>
  </si>
  <si>
    <t>DA4Z</t>
  </si>
  <si>
    <t>NEMISH RAJENDRA SHETH</t>
  </si>
  <si>
    <t>JAMNAGAR</t>
  </si>
  <si>
    <t>E3</t>
  </si>
  <si>
    <t>VIRAL INVESTMENT</t>
  </si>
  <si>
    <t>MSFL-JAMNAGAR (INDRAPRASTH)</t>
  </si>
  <si>
    <t>12/12/2019</t>
  </si>
  <si>
    <t>DEA7</t>
  </si>
  <si>
    <t>KRUNAL KIRITKUMAR THAKKER</t>
  </si>
  <si>
    <t>17/06/2005</t>
  </si>
  <si>
    <t>DD5</t>
  </si>
  <si>
    <t>BLISS INVESTMENT</t>
  </si>
  <si>
    <t>02/01/2017</t>
  </si>
  <si>
    <t>DEA1</t>
  </si>
  <si>
    <t>VSS INVESTMENT AND FINANCIAL SERVICES</t>
  </si>
  <si>
    <t>09/08/2016</t>
  </si>
  <si>
    <t>DP1</t>
  </si>
  <si>
    <t>PARIL AMRITLAL MALDE</t>
  </si>
  <si>
    <t>27/01/2009</t>
  </si>
  <si>
    <t>DC4</t>
  </si>
  <si>
    <t>R. R. INVESTMENT</t>
  </si>
  <si>
    <t>U2</t>
  </si>
  <si>
    <t>MARUTI INVESTMENTS</t>
  </si>
  <si>
    <t>22/08/2016</t>
  </si>
  <si>
    <t>DE7</t>
  </si>
  <si>
    <t>SANJAY VRAJLAL CHANDARIA</t>
  </si>
  <si>
    <t>09/05/2007</t>
  </si>
  <si>
    <t>DB9</t>
  </si>
  <si>
    <t>VARDHMAN INVESTMENT</t>
  </si>
  <si>
    <t>05/07/2005</t>
  </si>
  <si>
    <t>DA3</t>
  </si>
  <si>
    <t>KAMDAR INVESTMENT</t>
  </si>
  <si>
    <t>21/03/2014</t>
  </si>
  <si>
    <t>E6Z</t>
  </si>
  <si>
    <t>MARWADI CONSULTANCY</t>
  </si>
  <si>
    <t>05/09/2005</t>
  </si>
  <si>
    <t>DA7</t>
  </si>
  <si>
    <t>RAJANI SECURITIES</t>
  </si>
  <si>
    <t>18/05/2021</t>
  </si>
  <si>
    <t>DEB1</t>
  </si>
  <si>
    <t>HARDIK JAWAHARBHAI MEHTA</t>
  </si>
  <si>
    <t>E2</t>
  </si>
  <si>
    <t>BANDHAV INVESTMENT PVT. LTD.</t>
  </si>
  <si>
    <t>12/06/2023</t>
  </si>
  <si>
    <t>E3M</t>
  </si>
  <si>
    <t>DHARMENDRA BAVANJIBHAI FALDU</t>
  </si>
  <si>
    <t>12/06/2006</t>
  </si>
  <si>
    <t>DB3</t>
  </si>
  <si>
    <t>10/11/2010</t>
  </si>
  <si>
    <t>E3H</t>
  </si>
  <si>
    <t>ASHWIN VITHALDAS BADIYANI</t>
  </si>
  <si>
    <t>28/05/2021</t>
  </si>
  <si>
    <t>DEA9Z</t>
  </si>
  <si>
    <t>MEHUL MAHESHBHAI LAKHANI</t>
  </si>
  <si>
    <t>01/06/2005</t>
  </si>
  <si>
    <t>DA2</t>
  </si>
  <si>
    <t>POOJA SHARES</t>
  </si>
  <si>
    <t>06/05/2005</t>
  </si>
  <si>
    <t>DD7</t>
  </si>
  <si>
    <t>KALYANI FINANCIAL SOLUTION</t>
  </si>
  <si>
    <t>11/05/2005</t>
  </si>
  <si>
    <t>DD8</t>
  </si>
  <si>
    <t>MONEYRATE INVESTMENTS</t>
  </si>
  <si>
    <t>16/04/2007</t>
  </si>
  <si>
    <t>DB8</t>
  </si>
  <si>
    <t>VIRENDRA RATILAL VORA</t>
  </si>
  <si>
    <t>04/05/2017</t>
  </si>
  <si>
    <t>DEA2</t>
  </si>
  <si>
    <t>MODERN INVESTMENT</t>
  </si>
  <si>
    <t>07/06/2024</t>
  </si>
  <si>
    <t>E3O</t>
  </si>
  <si>
    <t>MIRAL RICKY SHAH</t>
  </si>
  <si>
    <t>20/08/2021</t>
  </si>
  <si>
    <t>DC2Z</t>
  </si>
  <si>
    <t>VIMAL V WADHWANI</t>
  </si>
  <si>
    <t>14/06/2018</t>
  </si>
  <si>
    <t>DEA4</t>
  </si>
  <si>
    <t>JATIN KIRITKUMAR CHHAPIA</t>
  </si>
  <si>
    <t>13/02/2017</t>
  </si>
  <si>
    <t>E5Z</t>
  </si>
  <si>
    <t>MANOJKUMAR SHIVALAL MEHTA</t>
  </si>
  <si>
    <t>E9</t>
  </si>
  <si>
    <t>MASTER SHARE AND STOCK TRADERS</t>
  </si>
  <si>
    <t>D8</t>
  </si>
  <si>
    <t>GLOBAL SHARE INTERMEDIARIES</t>
  </si>
  <si>
    <t>09/07/2018</t>
  </si>
  <si>
    <t>DA9Z</t>
  </si>
  <si>
    <t>MINABEN KAUSHIK KALYANI</t>
  </si>
  <si>
    <t>23/04/2019</t>
  </si>
  <si>
    <t>DEA6</t>
  </si>
  <si>
    <t>FAIRDEAL FINSTOCKS</t>
  </si>
  <si>
    <t>DD1</t>
  </si>
  <si>
    <t>VAIBHAV ENTERPRISE</t>
  </si>
  <si>
    <t>05/01/2024</t>
  </si>
  <si>
    <t>DEB2</t>
  </si>
  <si>
    <t>PARITOSH PRAFULBHAI ADALJA</t>
  </si>
  <si>
    <t>03/02/2017</t>
  </si>
  <si>
    <t>E3K</t>
  </si>
  <si>
    <t>SHITAL PRAVINCHANDRA MEHTA</t>
  </si>
  <si>
    <t>23/10/2023</t>
  </si>
  <si>
    <t>E3N</t>
  </si>
  <si>
    <t>RAJENDRA BACHUBHAI VEGDA</t>
  </si>
  <si>
    <t>08/01/2021</t>
  </si>
  <si>
    <t>DEA8</t>
  </si>
  <si>
    <t>SATYAM ARVINDBHAI MIN</t>
  </si>
  <si>
    <t>22/07/2024</t>
  </si>
  <si>
    <t>DEB3</t>
  </si>
  <si>
    <t>ASHVINBHAI VASHARAMBHAI AKABARI</t>
  </si>
  <si>
    <t>18/07/2011</t>
  </si>
  <si>
    <t>DC7</t>
  </si>
  <si>
    <t>CHANDRIKA RAJNIKANT RAJANI</t>
  </si>
  <si>
    <t>27/10/2016</t>
  </si>
  <si>
    <t>DE8</t>
  </si>
  <si>
    <t>BHARTIBEN DILIPBHAI CHANDARIA</t>
  </si>
  <si>
    <t>DG1</t>
  </si>
  <si>
    <t>28/03/2011</t>
  </si>
  <si>
    <t>MSFL-JAMNAGAR (AMBAR TALKIES)</t>
  </si>
  <si>
    <t>13/12/2019</t>
  </si>
  <si>
    <t>DG4</t>
  </si>
  <si>
    <t>SADHNA TEJAS GOSAI</t>
  </si>
  <si>
    <t>27/03/2017</t>
  </si>
  <si>
    <t>DG3</t>
  </si>
  <si>
    <t>MANISHA DINESHBHAI PARMAR</t>
  </si>
  <si>
    <t>DHA1</t>
  </si>
  <si>
    <t>11/08/2006</t>
  </si>
  <si>
    <t>DH1</t>
  </si>
  <si>
    <t>DEVENDRA TARSHIBHAI NANDASANA</t>
  </si>
  <si>
    <t>DHROL</t>
  </si>
  <si>
    <t>06/12/2010</t>
  </si>
  <si>
    <t>MSFL-DHROL</t>
  </si>
  <si>
    <t>DHGADHRA</t>
  </si>
  <si>
    <t>I1</t>
  </si>
  <si>
    <t>PANKAJKUMAR VRAJLAL HALANI</t>
  </si>
  <si>
    <t>DHRANGADHRA</t>
  </si>
  <si>
    <t>DJ1</t>
  </si>
  <si>
    <t>24/09/2007</t>
  </si>
  <si>
    <t>MSFL-DHORAJI</t>
  </si>
  <si>
    <t>DHORAJI</t>
  </si>
  <si>
    <t>DO1</t>
  </si>
  <si>
    <t>03/12/2007</t>
  </si>
  <si>
    <t>MSFL-DAHOD</t>
  </si>
  <si>
    <t>DAHOD</t>
  </si>
  <si>
    <t>DP</t>
  </si>
  <si>
    <t>21/04/2022</t>
  </si>
  <si>
    <t>DP3</t>
  </si>
  <si>
    <t>NAMRATA RONAK MALDE</t>
  </si>
  <si>
    <t>DSA1</t>
  </si>
  <si>
    <t>16/10/2008</t>
  </si>
  <si>
    <t>MSFL-DEESA</t>
  </si>
  <si>
    <t>DEESA</t>
  </si>
  <si>
    <t>13/01/2022</t>
  </si>
  <si>
    <t>DSB3</t>
  </si>
  <si>
    <t>VIPULKUMAR SHRAVANBHAI PRAJAPATI</t>
  </si>
  <si>
    <t>RANPUR</t>
  </si>
  <si>
    <t>DU1</t>
  </si>
  <si>
    <t>13/04/2010</t>
  </si>
  <si>
    <t>MSFL-DIU</t>
  </si>
  <si>
    <t>DIU</t>
  </si>
  <si>
    <t>DIUDAMAN</t>
  </si>
  <si>
    <t>F1</t>
  </si>
  <si>
    <t>MSFL-JUNAGADH</t>
  </si>
  <si>
    <t>JUNAGADH</t>
  </si>
  <si>
    <t>18/05/2018</t>
  </si>
  <si>
    <t>FAA6</t>
  </si>
  <si>
    <t>PUNIT PRAVINBHAI VITHALANI</t>
  </si>
  <si>
    <t>F5</t>
  </si>
  <si>
    <t>SHREE LAXMI FINANCE</t>
  </si>
  <si>
    <t>01/10/2018</t>
  </si>
  <si>
    <t>FAA4</t>
  </si>
  <si>
    <t>MEHUL PARSOTAMBHAI SAVSANI</t>
  </si>
  <si>
    <t>06/07/2017</t>
  </si>
  <si>
    <t>FAA2</t>
  </si>
  <si>
    <t>RASHMIBEN ASHVINBHAI RAVAL</t>
  </si>
  <si>
    <t>07/02/2018</t>
  </si>
  <si>
    <t>FAA3</t>
  </si>
  <si>
    <t>RAJESH DHARAMSHIBHAI LUKHKHA</t>
  </si>
  <si>
    <t>FF</t>
  </si>
  <si>
    <t>05/05/2009</t>
  </si>
  <si>
    <t>FF1Z</t>
  </si>
  <si>
    <t>PERFECT INVESTOR SERVICES PVT. LTD.</t>
  </si>
  <si>
    <t>21/08/2007</t>
  </si>
  <si>
    <t>FA5</t>
  </si>
  <si>
    <t>KETAN BHANJIBHAI CHHATRALA</t>
  </si>
  <si>
    <t>FF3</t>
  </si>
  <si>
    <t>SANJAY NAGINDAS SHAH</t>
  </si>
  <si>
    <t>FF4</t>
  </si>
  <si>
    <t>JITENDRA MANIKANT SHAH</t>
  </si>
  <si>
    <t>15/05/2009</t>
  </si>
  <si>
    <t>FA4Z</t>
  </si>
  <si>
    <t>ASTHA SHARES &amp; FINANCIAL SERVICES</t>
  </si>
  <si>
    <t>BHESAN</t>
  </si>
  <si>
    <t>FM1</t>
  </si>
  <si>
    <t>23/08/2006</t>
  </si>
  <si>
    <t>MSFL-MENDARDA</t>
  </si>
  <si>
    <t>MENDARDA</t>
  </si>
  <si>
    <t>G3</t>
  </si>
  <si>
    <t>MSFL-KESHOD (KISHOR COMPLEX)</t>
  </si>
  <si>
    <t>KESHOD</t>
  </si>
  <si>
    <t>G7</t>
  </si>
  <si>
    <t>RAJ SECURITY</t>
  </si>
  <si>
    <t>01/07/2019</t>
  </si>
  <si>
    <t>KSA3Y</t>
  </si>
  <si>
    <t>DABHI NAKUL RAJABHAI</t>
  </si>
  <si>
    <t>15/05/2024</t>
  </si>
  <si>
    <t>KSA4</t>
  </si>
  <si>
    <t>PARSOTAMNATH VAIJNATH DHARMNATHI</t>
  </si>
  <si>
    <t>GDHAM</t>
  </si>
  <si>
    <t>29/10/2012</t>
  </si>
  <si>
    <t>K1Z</t>
  </si>
  <si>
    <t>SAVAN KISHORBHAI MORBIA</t>
  </si>
  <si>
    <t>GANDHIDHAM</t>
  </si>
  <si>
    <t>12/12/2011</t>
  </si>
  <si>
    <t>K9</t>
  </si>
  <si>
    <t>ZANKRUT DINESH JETHAVA</t>
  </si>
  <si>
    <t>28/09/2007</t>
  </si>
  <si>
    <t>K3</t>
  </si>
  <si>
    <t>MARUTI INVESTMENT</t>
  </si>
  <si>
    <t>ANJAR</t>
  </si>
  <si>
    <t>GN1</t>
  </si>
  <si>
    <t>15/10/2009</t>
  </si>
  <si>
    <t>MSFL-GANDHINAGAR</t>
  </si>
  <si>
    <t>GR1</t>
  </si>
  <si>
    <t>19/11/2007</t>
  </si>
  <si>
    <t>MSFL-GODHRA</t>
  </si>
  <si>
    <t>GODHRA</t>
  </si>
  <si>
    <t>H1</t>
  </si>
  <si>
    <t>16/11/2006</t>
  </si>
  <si>
    <t>HA7</t>
  </si>
  <si>
    <t>KARTIK DILIPBHAI SHAH</t>
  </si>
  <si>
    <t>21/11/2006</t>
  </si>
  <si>
    <t>HA8</t>
  </si>
  <si>
    <t>MALAY JITENDRAKUMAR SHAH</t>
  </si>
  <si>
    <t>05/07/2010</t>
  </si>
  <si>
    <t>HH3Z</t>
  </si>
  <si>
    <t>HET SECURITIES</t>
  </si>
  <si>
    <t>18/08/2021</t>
  </si>
  <si>
    <t>CP</t>
  </si>
  <si>
    <t>KEDIA BUSINESS PRIVATE LIMITED</t>
  </si>
  <si>
    <t>CHENNAI</t>
  </si>
  <si>
    <t>TAMILNADU</t>
  </si>
  <si>
    <t>22/07/2016</t>
  </si>
  <si>
    <t>HAC7</t>
  </si>
  <si>
    <t>RUPA YOGESH KAMDAR</t>
  </si>
  <si>
    <t>MSFL-BHAVNAGAR (MAIN)</t>
  </si>
  <si>
    <t>30/08/2021</t>
  </si>
  <si>
    <t>H2Z</t>
  </si>
  <si>
    <t>K G VORA INVESTMENT</t>
  </si>
  <si>
    <t>18/10/2006</t>
  </si>
  <si>
    <t>HA6</t>
  </si>
  <si>
    <t>ANNI INVESTMENT</t>
  </si>
  <si>
    <t>26/05/2021</t>
  </si>
  <si>
    <t>HAD7</t>
  </si>
  <si>
    <t>ARHAM ENTERPRISE</t>
  </si>
  <si>
    <t>18/06/2021</t>
  </si>
  <si>
    <t>HAD6</t>
  </si>
  <si>
    <t>HEMANT BHATI</t>
  </si>
  <si>
    <t>JODHPUR</t>
  </si>
  <si>
    <t>02/04/2018</t>
  </si>
  <si>
    <t>HAB5Z</t>
  </si>
  <si>
    <t>VIKRAM N. DHOLAKIA</t>
  </si>
  <si>
    <t>20/07/2020</t>
  </si>
  <si>
    <t>HAC9</t>
  </si>
  <si>
    <t>RASIK LALJIBHAI KANTARIYA</t>
  </si>
  <si>
    <t>01/10/2009</t>
  </si>
  <si>
    <t>HAA9</t>
  </si>
  <si>
    <t>FALGUNIBEN BHAVESH SHAH</t>
  </si>
  <si>
    <t>HB2</t>
  </si>
  <si>
    <t>SHAH NIMESH RAMESHKUMAR</t>
  </si>
  <si>
    <t>01/10/2020</t>
  </si>
  <si>
    <t>HAD2</t>
  </si>
  <si>
    <t>GAURAV A BIJANI</t>
  </si>
  <si>
    <t>DHASA</t>
  </si>
  <si>
    <t>18/08/2020</t>
  </si>
  <si>
    <t>HAC8</t>
  </si>
  <si>
    <t>SARANG GUNVANTBHAI DEVLUK</t>
  </si>
  <si>
    <t>07/01/2015</t>
  </si>
  <si>
    <t>HAB7</t>
  </si>
  <si>
    <t>MANSUKHBHAI BALUBHAI JAGAD</t>
  </si>
  <si>
    <t>20/10/2008</t>
  </si>
  <si>
    <t>HAA4</t>
  </si>
  <si>
    <t>KAPILKUMAR MAHIPATRAY DAVE</t>
  </si>
  <si>
    <t>15/01/2008</t>
  </si>
  <si>
    <t>HB8</t>
  </si>
  <si>
    <t>NIKUNJ GHANSHYAMLAL PATEL</t>
  </si>
  <si>
    <t>23/05/2017</t>
  </si>
  <si>
    <t>HB6Z</t>
  </si>
  <si>
    <t>HARISHKUMAR GANDALAL PANDYA</t>
  </si>
  <si>
    <t>12/08/2020</t>
  </si>
  <si>
    <t>HAD1</t>
  </si>
  <si>
    <t>BHADIYADRA PRAMIT YOGESHBHAI</t>
  </si>
  <si>
    <t>HH2</t>
  </si>
  <si>
    <t>JNK COMMODITIES &amp; SECURITIES</t>
  </si>
  <si>
    <t>12/07/2021</t>
  </si>
  <si>
    <t>HAD9</t>
  </si>
  <si>
    <t>GAURAV RAMESHBHAI GOSALIYA</t>
  </si>
  <si>
    <t>I5</t>
  </si>
  <si>
    <t>SAINATH INVESTMENT</t>
  </si>
  <si>
    <t>16/02/2006</t>
  </si>
  <si>
    <t>HA3</t>
  </si>
  <si>
    <t>SHAH SHRIPAL INDUKUMAR</t>
  </si>
  <si>
    <t>05/05/2021</t>
  </si>
  <si>
    <t>HAD8</t>
  </si>
  <si>
    <t>KUBAVAT CHIRAGBHAI MAHESHBHAI</t>
  </si>
  <si>
    <t>HAA</t>
  </si>
  <si>
    <t>12/12/2008</t>
  </si>
  <si>
    <t>HAA6</t>
  </si>
  <si>
    <t>BHAGYODAY SECURITY</t>
  </si>
  <si>
    <t>02/01/2023</t>
  </si>
  <si>
    <t>HAA6Z</t>
  </si>
  <si>
    <t>NIRAJ A SHAH</t>
  </si>
  <si>
    <t>HN1</t>
  </si>
  <si>
    <t>MSFL-HIMATNAGAR</t>
  </si>
  <si>
    <t>HIMATNAGAR</t>
  </si>
  <si>
    <t>03/09/2007</t>
  </si>
  <si>
    <t>AHM3</t>
  </si>
  <si>
    <t>DAKSHESH MOHANLAL SHAH</t>
  </si>
  <si>
    <t>HYD1</t>
  </si>
  <si>
    <t>16/12/2005</t>
  </si>
  <si>
    <t>HY3</t>
  </si>
  <si>
    <t>HI-TECH SECURITIES (P). LTD.</t>
  </si>
  <si>
    <t>SECUNDERABAD</t>
  </si>
  <si>
    <t>TELANGANA</t>
  </si>
  <si>
    <t>22/09/2008</t>
  </si>
  <si>
    <t>MSFL-HYDERABAD (TWO)</t>
  </si>
  <si>
    <t>HYDERABAD</t>
  </si>
  <si>
    <t>16/09/2014</t>
  </si>
  <si>
    <t>HYD3</t>
  </si>
  <si>
    <t>BHAVESH C. DUTIA</t>
  </si>
  <si>
    <t>12/07/2006</t>
  </si>
  <si>
    <t>HY5</t>
  </si>
  <si>
    <t>SUNIL RAHEJA</t>
  </si>
  <si>
    <t>IN</t>
  </si>
  <si>
    <t>17/10/2006</t>
  </si>
  <si>
    <t>INSTITUTIONAL</t>
  </si>
  <si>
    <t>J1</t>
  </si>
  <si>
    <t>MSFL-SAVARKUNDLA</t>
  </si>
  <si>
    <t>SAVARKUNDALA</t>
  </si>
  <si>
    <t>JJ1</t>
  </si>
  <si>
    <t>23/11/2007</t>
  </si>
  <si>
    <t>MSFL-JAMJODHPUR</t>
  </si>
  <si>
    <t>JAMJODHPUR</t>
  </si>
  <si>
    <t>JK1</t>
  </si>
  <si>
    <t>27/09/2005</t>
  </si>
  <si>
    <t>MSFL-JAMKHAMBHALIA</t>
  </si>
  <si>
    <t>JAMKHAMBHALIYA</t>
  </si>
  <si>
    <t>JM1</t>
  </si>
  <si>
    <t>26/07/2016</t>
  </si>
  <si>
    <t>MSFL-JAMKANDORNA</t>
  </si>
  <si>
    <t>JAMKANDORANA</t>
  </si>
  <si>
    <t>JT1</t>
  </si>
  <si>
    <t>03/05/2007</t>
  </si>
  <si>
    <t>MSFL-JETPUR</t>
  </si>
  <si>
    <t>JETPUR</t>
  </si>
  <si>
    <t>04/12/2023</t>
  </si>
  <si>
    <t>JT5Z</t>
  </si>
  <si>
    <t>AKSHAY NIRANJANBHAI DAMANI</t>
  </si>
  <si>
    <t>23/02/2018</t>
  </si>
  <si>
    <t>JT6</t>
  </si>
  <si>
    <t>MANSUKHBHAI MULJIBHAI LAKKAD</t>
  </si>
  <si>
    <t>KA</t>
  </si>
  <si>
    <t>18/05/2023</t>
  </si>
  <si>
    <t>KA1Y</t>
  </si>
  <si>
    <t>S R INVESTMENTS</t>
  </si>
  <si>
    <t>KALNA</t>
  </si>
  <si>
    <t>KB1</t>
  </si>
  <si>
    <t>02/08/2010</t>
  </si>
  <si>
    <t>MSFL-KHEDBRAHMA</t>
  </si>
  <si>
    <t>KHEDBRAHMA</t>
  </si>
  <si>
    <t>KI1</t>
  </si>
  <si>
    <t>21/07/2008</t>
  </si>
  <si>
    <t>MSFL-KADI</t>
  </si>
  <si>
    <t>KADI</t>
  </si>
  <si>
    <t>01/10/2021</t>
  </si>
  <si>
    <t>KI5</t>
  </si>
  <si>
    <t>BHAVIK P PATEL</t>
  </si>
  <si>
    <t>KL1</t>
  </si>
  <si>
    <t>16/01/2008</t>
  </si>
  <si>
    <t>MSFL-KALOL</t>
  </si>
  <si>
    <t>KALOL</t>
  </si>
  <si>
    <t>18/06/2020</t>
  </si>
  <si>
    <t>KL5</t>
  </si>
  <si>
    <t>JIGAR RAJESHKUMAR NAYAK</t>
  </si>
  <si>
    <t>KND1</t>
  </si>
  <si>
    <t>07/04/2010</t>
  </si>
  <si>
    <t>MSFL-MUMBAI (KANDIVALI)</t>
  </si>
  <si>
    <t>KODINAR</t>
  </si>
  <si>
    <t>P6</t>
  </si>
  <si>
    <t>BHAVESHKUMAR P. RUPAREL</t>
  </si>
  <si>
    <t>LP1</t>
  </si>
  <si>
    <t>18/02/2009</t>
  </si>
  <si>
    <t>MSFL-LALPUR</t>
  </si>
  <si>
    <t>LALPUR</t>
  </si>
  <si>
    <t>MAHUVA</t>
  </si>
  <si>
    <t>M1</t>
  </si>
  <si>
    <t>JYOTI ENTERPRISE</t>
  </si>
  <si>
    <t>MANDVI</t>
  </si>
  <si>
    <t>Q3</t>
  </si>
  <si>
    <t>NIRAV RASHMIKANT SHAH</t>
  </si>
  <si>
    <t>MDR1</t>
  </si>
  <si>
    <t>17/10/2013</t>
  </si>
  <si>
    <t>MSFL-MUNDRA</t>
  </si>
  <si>
    <t>MUNDRA</t>
  </si>
  <si>
    <t>MG1</t>
  </si>
  <si>
    <t>25/08/2008</t>
  </si>
  <si>
    <t>MSFL-MANGROL</t>
  </si>
  <si>
    <t>MANGROL</t>
  </si>
  <si>
    <t>MH1</t>
  </si>
  <si>
    <t>23/09/2005</t>
  </si>
  <si>
    <t>MSFL-MEHSANA</t>
  </si>
  <si>
    <t>MEHSANA</t>
  </si>
  <si>
    <t>04/07/2006</t>
  </si>
  <si>
    <t>MH5</t>
  </si>
  <si>
    <t>MAHESHKUMAR PURSHOTTAMBHAI PATEL</t>
  </si>
  <si>
    <t>09/10/2007</t>
  </si>
  <si>
    <t>MI2</t>
  </si>
  <si>
    <t>PATEL SAVITABEN SOMABHAI</t>
  </si>
  <si>
    <t>KUKARWADA</t>
  </si>
  <si>
    <t>16/04/2019</t>
  </si>
  <si>
    <t>MHB5</t>
  </si>
  <si>
    <t>ANKITKUMAR GANPATLAL PRAJAPATI</t>
  </si>
  <si>
    <t>06/12/2005</t>
  </si>
  <si>
    <t>MH2</t>
  </si>
  <si>
    <t>SHREE DUTTA ENTERPRISE</t>
  </si>
  <si>
    <t>18/12/2017</t>
  </si>
  <si>
    <t>MHB4</t>
  </si>
  <si>
    <t>UMIYA INVESTMENT</t>
  </si>
  <si>
    <t>15/09/2008</t>
  </si>
  <si>
    <t>MHA7</t>
  </si>
  <si>
    <t>LIKUNKUMAR KANTILAL VANATIYA</t>
  </si>
  <si>
    <t>MHS1</t>
  </si>
  <si>
    <t>13/10/2014</t>
  </si>
  <si>
    <t>MSFL-MEHSANA (PILAJIGANJ)</t>
  </si>
  <si>
    <t>MN1</t>
  </si>
  <si>
    <t>MSFL-MANAVADAR</t>
  </si>
  <si>
    <t>MANAVADAR</t>
  </si>
  <si>
    <t>MNS1</t>
  </si>
  <si>
    <t>29/12/2016</t>
  </si>
  <si>
    <t>MSFL-MANSA</t>
  </si>
  <si>
    <t>MANSA</t>
  </si>
  <si>
    <t>MO1</t>
  </si>
  <si>
    <t>18/08/2005</t>
  </si>
  <si>
    <t>MSFL-MORBI</t>
  </si>
  <si>
    <t>MORBI</t>
  </si>
  <si>
    <t>NI1</t>
  </si>
  <si>
    <t>10/11/2005</t>
  </si>
  <si>
    <t>MSFL-NADIAD</t>
  </si>
  <si>
    <t>NADIAD</t>
  </si>
  <si>
    <t>05/10/2020</t>
  </si>
  <si>
    <t>NIA1</t>
  </si>
  <si>
    <t>HEMABEN NIRAV ARORA</t>
  </si>
  <si>
    <t>01/01/2021</t>
  </si>
  <si>
    <t>NI9</t>
  </si>
  <si>
    <t>HIREN DILIPBHAI SHAH</t>
  </si>
  <si>
    <t>05/08/2022</t>
  </si>
  <si>
    <t>NIA3</t>
  </si>
  <si>
    <t>DEVEN PATEL</t>
  </si>
  <si>
    <t>UTTARSANDA</t>
  </si>
  <si>
    <t>NV1</t>
  </si>
  <si>
    <t>04/01/2006</t>
  </si>
  <si>
    <t>MSFL-NAVSARI</t>
  </si>
  <si>
    <t>NAVSARI</t>
  </si>
  <si>
    <t>18/01/2010</t>
  </si>
  <si>
    <t>NV4</t>
  </si>
  <si>
    <t>ASHISHKUMAR SHASHIKANT SHAH</t>
  </si>
  <si>
    <t>O6</t>
  </si>
  <si>
    <t>MSFL-GONDAL</t>
  </si>
  <si>
    <t>GONDAL</t>
  </si>
  <si>
    <t>O1</t>
  </si>
  <si>
    <t>REAL INVEST</t>
  </si>
  <si>
    <t>28/12/2007</t>
  </si>
  <si>
    <t>OA3</t>
  </si>
  <si>
    <t>VISHAL PRABHUDASBHAI TANNA</t>
  </si>
  <si>
    <t>22/01/2015</t>
  </si>
  <si>
    <t>O5Z</t>
  </si>
  <si>
    <t>BHARMAL INVESTMENT</t>
  </si>
  <si>
    <t>17/08/2007</t>
  </si>
  <si>
    <t>OA2</t>
  </si>
  <si>
    <t>HIRENBHAI NAGJIBHAI KAVATHIYA</t>
  </si>
  <si>
    <t>10/01/2018</t>
  </si>
  <si>
    <t>OB3</t>
  </si>
  <si>
    <t>SARSARIA PANKAJ J</t>
  </si>
  <si>
    <t>P1</t>
  </si>
  <si>
    <t>MSFL-VERAVAL</t>
  </si>
  <si>
    <t>VERAVAL</t>
  </si>
  <si>
    <t>07/11/2007</t>
  </si>
  <si>
    <t>PV9</t>
  </si>
  <si>
    <t>LAXMI SECURITIES</t>
  </si>
  <si>
    <t>MALIA HATINA</t>
  </si>
  <si>
    <t>PAL1</t>
  </si>
  <si>
    <t>25/02/2008</t>
  </si>
  <si>
    <t>MSFL-PALITANA</t>
  </si>
  <si>
    <t>12/10/2006</t>
  </si>
  <si>
    <t>PT1</t>
  </si>
  <si>
    <t>JITENDRASINH BHUPATSINH YADAV</t>
  </si>
  <si>
    <t>PID</t>
  </si>
  <si>
    <t>20/02/2009</t>
  </si>
  <si>
    <t>MSFL- MUMBAI (FORT-PID)</t>
  </si>
  <si>
    <t>PL1</t>
  </si>
  <si>
    <t>26/09/2005</t>
  </si>
  <si>
    <t>MSFL-PALANPUR</t>
  </si>
  <si>
    <t>PALANPUR</t>
  </si>
  <si>
    <t>05/08/2021</t>
  </si>
  <si>
    <t>PLA4Z</t>
  </si>
  <si>
    <t>VISION ENTERPRISE</t>
  </si>
  <si>
    <t>26/07/2023</t>
  </si>
  <si>
    <t>PLA9</t>
  </si>
  <si>
    <t>MITESHKUMAR KAMRAJBHAI PATEL</t>
  </si>
  <si>
    <t>22/03/2021</t>
  </si>
  <si>
    <t>PLB2</t>
  </si>
  <si>
    <t>VASANTKUMAR JITABHAI KAKVADIYA</t>
  </si>
  <si>
    <t>28/11/2007</t>
  </si>
  <si>
    <t>PLN3</t>
  </si>
  <si>
    <t>CHOKSI ALPESHKUMAR PRABHUDAS</t>
  </si>
  <si>
    <t>PLB3</t>
  </si>
  <si>
    <t>MUKESHKUMAR K PATEL</t>
  </si>
  <si>
    <t>01/08/2024</t>
  </si>
  <si>
    <t>PLB4</t>
  </si>
  <si>
    <t>MONALI HARSH MEHTA</t>
  </si>
  <si>
    <t>01/01/2020</t>
  </si>
  <si>
    <t>PLA3</t>
  </si>
  <si>
    <t>UMANG RAMESHBHAI MODI</t>
  </si>
  <si>
    <t>PN1</t>
  </si>
  <si>
    <t>18/01/2008</t>
  </si>
  <si>
    <t>MSFL-PATAN</t>
  </si>
  <si>
    <t>PATAN</t>
  </si>
  <si>
    <t>10/06/2021</t>
  </si>
  <si>
    <t>PN8</t>
  </si>
  <si>
    <t>PRAHLADBHAI P PRAJAPATI</t>
  </si>
  <si>
    <t>07/09/2021</t>
  </si>
  <si>
    <t>PN5</t>
  </si>
  <si>
    <t>MITALBEN ASHISHKUMAR KANSARA</t>
  </si>
  <si>
    <t>PS1</t>
  </si>
  <si>
    <t>11/12/2008</t>
  </si>
  <si>
    <t>MSFL-MUMBAI (FORT)</t>
  </si>
  <si>
    <t>09/05/2019</t>
  </si>
  <si>
    <t>PS5Z</t>
  </si>
  <si>
    <t>RUCHI VISHWAS SETHNA</t>
  </si>
  <si>
    <t>11/04/2022</t>
  </si>
  <si>
    <t>PS3Z</t>
  </si>
  <si>
    <t>RAVI VISHWAMBHARLAL MODI</t>
  </si>
  <si>
    <t>Q</t>
  </si>
  <si>
    <t>15/05/2017</t>
  </si>
  <si>
    <t>QQ3</t>
  </si>
  <si>
    <t>MAHEK STOCK BROKING SERVICES PVT. LTD.</t>
  </si>
  <si>
    <t>MITHAPUR</t>
  </si>
  <si>
    <t>13/07/2011</t>
  </si>
  <si>
    <t>QQ1</t>
  </si>
  <si>
    <t>DWARKA</t>
  </si>
  <si>
    <t>R1</t>
  </si>
  <si>
    <t>07/06/2005</t>
  </si>
  <si>
    <t>R8</t>
  </si>
  <si>
    <t>GOLDEN STOCK HOLDING</t>
  </si>
  <si>
    <t>PORBANDAR</t>
  </si>
  <si>
    <t>MSFL-PORBANDAR</t>
  </si>
  <si>
    <t>09/08/2006</t>
  </si>
  <si>
    <t>R6</t>
  </si>
  <si>
    <t>18/05/2006</t>
  </si>
  <si>
    <t>RA2</t>
  </si>
  <si>
    <t>DISHA TRADE LINK</t>
  </si>
  <si>
    <t>31/08/2006</t>
  </si>
  <si>
    <t>RA4</t>
  </si>
  <si>
    <t>VIJAY GOKALDAS GOTECHA</t>
  </si>
  <si>
    <t>R9</t>
  </si>
  <si>
    <t>PARESH PRABHUDAS KARIA</t>
  </si>
  <si>
    <t>21/01/2013</t>
  </si>
  <si>
    <t>RA3Z</t>
  </si>
  <si>
    <t>21/10/2005</t>
  </si>
  <si>
    <t>R5</t>
  </si>
  <si>
    <t>TARUN SHARE &amp; STOCK</t>
  </si>
  <si>
    <t>17/01/2008</t>
  </si>
  <si>
    <t>RAA2</t>
  </si>
  <si>
    <t>GUJARAT INVESTMENTS</t>
  </si>
  <si>
    <t>R4</t>
  </si>
  <si>
    <t>PARSHWANATH INVESTMENT</t>
  </si>
  <si>
    <t>RAJ</t>
  </si>
  <si>
    <t>30/08/2005</t>
  </si>
  <si>
    <t>V2</t>
  </si>
  <si>
    <t>CHANDARANA INTERMEDIARIES BROKERS PRIVATE LIMITED</t>
  </si>
  <si>
    <t>NANI DAMAN</t>
  </si>
  <si>
    <t>A3</t>
  </si>
  <si>
    <t>MAVJI HARIBHAI FINSTOCK</t>
  </si>
  <si>
    <t>T3</t>
  </si>
  <si>
    <t>SARTHI INVESTMENTS</t>
  </si>
  <si>
    <t>04/08/2008</t>
  </si>
  <si>
    <t>RO7</t>
  </si>
  <si>
    <t>CHAANAKYA FINANZA SOLUZION PVT. LTD.</t>
  </si>
  <si>
    <t>30/03/2022</t>
  </si>
  <si>
    <t>RY4</t>
  </si>
  <si>
    <t>NAVINCHANDRA GANDALAL RANPARIYA</t>
  </si>
  <si>
    <t>V5</t>
  </si>
  <si>
    <t>AARSH SECURITIES</t>
  </si>
  <si>
    <t>01/04/2019</t>
  </si>
  <si>
    <t>RS5Z</t>
  </si>
  <si>
    <t>SHREE B TECH INVESTMENT</t>
  </si>
  <si>
    <t>18/01/2021</t>
  </si>
  <si>
    <t>RX1</t>
  </si>
  <si>
    <t>ARJUN LILABHAI MODHWADIYA</t>
  </si>
  <si>
    <t>W9</t>
  </si>
  <si>
    <t>KASHMIRABEN D. PATEL</t>
  </si>
  <si>
    <t>12/11/2007</t>
  </si>
  <si>
    <t>RK4</t>
  </si>
  <si>
    <t>RASILABEN MAGANBHAI BHALODIYA</t>
  </si>
  <si>
    <t>09/12/2014</t>
  </si>
  <si>
    <t>Q2Z</t>
  </si>
  <si>
    <t>PRAVIN BHAVANBHAI BARAI</t>
  </si>
  <si>
    <t>16/06/2014</t>
  </si>
  <si>
    <t>RT6</t>
  </si>
  <si>
    <t>MAHESH BHAGVANJIBHAI VACHHANI</t>
  </si>
  <si>
    <t>RI3</t>
  </si>
  <si>
    <t>SIDDHARTH HARISHKUMAR MEHTA</t>
  </si>
  <si>
    <t>11/04/2017</t>
  </si>
  <si>
    <t>SDA2</t>
  </si>
  <si>
    <t>SHAKSHI S. MODHAVADIA</t>
  </si>
  <si>
    <t>01/04/2015</t>
  </si>
  <si>
    <t>RT7</t>
  </si>
  <si>
    <t>JAYESH RAMESHCHANDRA VAGHASANA</t>
  </si>
  <si>
    <t>06/05/2019</t>
  </si>
  <si>
    <t>RD6Y</t>
  </si>
  <si>
    <t>HARDIK ARUNBHAI MEHTA</t>
  </si>
  <si>
    <t>17/04/2017</t>
  </si>
  <si>
    <t>RU9</t>
  </si>
  <si>
    <t>SHREE SAI FINSEC</t>
  </si>
  <si>
    <t>RB2</t>
  </si>
  <si>
    <t>MEHTA TRADELINK PVT. LTD.</t>
  </si>
  <si>
    <t>29/12/2009</t>
  </si>
  <si>
    <t>RP5</t>
  </si>
  <si>
    <t>NITIN DINESHBHAI RAJYAGURU</t>
  </si>
  <si>
    <t>09/05/2008</t>
  </si>
  <si>
    <t>BT1</t>
  </si>
  <si>
    <t>MANISH INVESTMENT</t>
  </si>
  <si>
    <t>BHATIA</t>
  </si>
  <si>
    <t>22/08/2007</t>
  </si>
  <si>
    <t>RQ1</t>
  </si>
  <si>
    <t>FALGUNIBEN VINODKUMAR NANDHA</t>
  </si>
  <si>
    <t>SD1</t>
  </si>
  <si>
    <t>VARDA INVESTMENT</t>
  </si>
  <si>
    <t>06/09/2021</t>
  </si>
  <si>
    <t>RI2Z</t>
  </si>
  <si>
    <t>BIPIN VASANTLAL KOTHARI</t>
  </si>
  <si>
    <t>B3</t>
  </si>
  <si>
    <t>MANOJ A. VORA</t>
  </si>
  <si>
    <t>13/05/2024</t>
  </si>
  <si>
    <t>RE8Z</t>
  </si>
  <si>
    <t>JALPA VIRENBHAI KALARIYA</t>
  </si>
  <si>
    <t>21/07/2023</t>
  </si>
  <si>
    <t>QG1Y</t>
  </si>
  <si>
    <t>ILESHGIRI D GAUSWAMI</t>
  </si>
  <si>
    <t>BHANVAD</t>
  </si>
  <si>
    <t>13/02/2009</t>
  </si>
  <si>
    <t>BGS1</t>
  </si>
  <si>
    <t>JAY INVESTMENT</t>
  </si>
  <si>
    <t>BAGASARA</t>
  </si>
  <si>
    <t>25/01/2023</t>
  </si>
  <si>
    <t>RY6</t>
  </si>
  <si>
    <t>BINA NILESH PAREKH</t>
  </si>
  <si>
    <t>21/01/2009</t>
  </si>
  <si>
    <t>DJ4</t>
  </si>
  <si>
    <t>GAURAV SHANTILAL MADIYA</t>
  </si>
  <si>
    <t>06/12/2018</t>
  </si>
  <si>
    <t>OK1</t>
  </si>
  <si>
    <t>VAISHALI D. PANCHMATIA</t>
  </si>
  <si>
    <t>OKHA</t>
  </si>
  <si>
    <t>30/11/2007</t>
  </si>
  <si>
    <t>RK8</t>
  </si>
  <si>
    <t>TIRUPATI INVESTMENT</t>
  </si>
  <si>
    <t>29/08/2008</t>
  </si>
  <si>
    <t>RO9</t>
  </si>
  <si>
    <t>ASHOKBHAI DHIRAJLAL VASA</t>
  </si>
  <si>
    <t>PTN2</t>
  </si>
  <si>
    <t>SMART INVESTMENTS</t>
  </si>
  <si>
    <t>PATNA</t>
  </si>
  <si>
    <t>BIHAR</t>
  </si>
  <si>
    <t>01/07/2005</t>
  </si>
  <si>
    <t>RB7</t>
  </si>
  <si>
    <t>MANISH PRADIPKUMAR KHAKHARIA</t>
  </si>
  <si>
    <t>06/07/2021</t>
  </si>
  <si>
    <t>RX4</t>
  </si>
  <si>
    <t>KRIMABEN MANISHBHAI DODIYA</t>
  </si>
  <si>
    <t>RAJKOT HEAD OFFICE- 150 FEET RING ROAD</t>
  </si>
  <si>
    <t>RV7Z</t>
  </si>
  <si>
    <t>JAYESH ANDABHAI FEFAR</t>
  </si>
  <si>
    <t>12/07/2011</t>
  </si>
  <si>
    <t>RS2</t>
  </si>
  <si>
    <t>AMIT HASMUKHBHAI RADHANPURA</t>
  </si>
  <si>
    <t>ZA1</t>
  </si>
  <si>
    <t>D S SECURITIES</t>
  </si>
  <si>
    <t>05/02/2021</t>
  </si>
  <si>
    <t>RW9</t>
  </si>
  <si>
    <t>SHREENATH INVESTMENT</t>
  </si>
  <si>
    <t>VISAVADAR</t>
  </si>
  <si>
    <t>26/11/2015</t>
  </si>
  <si>
    <t>RU3</t>
  </si>
  <si>
    <t>BHAVIN RAMESHCHANDRA SHAH</t>
  </si>
  <si>
    <t>24/09/2009</t>
  </si>
  <si>
    <t>RE8</t>
  </si>
  <si>
    <t>VIRENKUMAR KALARIA</t>
  </si>
  <si>
    <t>09/02/2022</t>
  </si>
  <si>
    <t>RX9</t>
  </si>
  <si>
    <t>EKSA INVESTING</t>
  </si>
  <si>
    <t>22/11/2021</t>
  </si>
  <si>
    <t>RX2Z</t>
  </si>
  <si>
    <t>HASMUKHBHAI KHIMJIBHAI MAKWANA</t>
  </si>
  <si>
    <t>12/11/2021</t>
  </si>
  <si>
    <t>A3Z</t>
  </si>
  <si>
    <t>23/03/2023</t>
  </si>
  <si>
    <t>RZ2</t>
  </si>
  <si>
    <t>MITALBEN NIKUNJBHAI TRIVEDI</t>
  </si>
  <si>
    <t>28/01/2014</t>
  </si>
  <si>
    <t>RT4</t>
  </si>
  <si>
    <t>AMEE NISHANT KOTHARI</t>
  </si>
  <si>
    <t>T6</t>
  </si>
  <si>
    <t>VINAYAK INVESTMENT</t>
  </si>
  <si>
    <t>V3</t>
  </si>
  <si>
    <t>COSMO COMPUTERS</t>
  </si>
  <si>
    <t>C7</t>
  </si>
  <si>
    <t>BHOOMI SHARES &amp; STOCK PVT. LTD.</t>
  </si>
  <si>
    <t>27/09/2006</t>
  </si>
  <si>
    <t>RJ3</t>
  </si>
  <si>
    <t>HITARTH INVESTMENT</t>
  </si>
  <si>
    <t>15/05/2007</t>
  </si>
  <si>
    <t>RF6</t>
  </si>
  <si>
    <t>SANJAY D. GOTECHA</t>
  </si>
  <si>
    <t>06/08/2013</t>
  </si>
  <si>
    <t>ID1Z</t>
  </si>
  <si>
    <t>YOGESHKUMAR D. PATADIA</t>
  </si>
  <si>
    <t>INDORE</t>
  </si>
  <si>
    <t>MADHYA PRADESH</t>
  </si>
  <si>
    <t>24/04/2017</t>
  </si>
  <si>
    <t>RU8</t>
  </si>
  <si>
    <t>DIVYESH JASHVANTRAY SHETH</t>
  </si>
  <si>
    <t>30/05/2024</t>
  </si>
  <si>
    <t>RZ9</t>
  </si>
  <si>
    <t>JAY JITENDRABHAI PAREKH</t>
  </si>
  <si>
    <t>07/12/2017</t>
  </si>
  <si>
    <t>RV4</t>
  </si>
  <si>
    <t>POOJA VINOD MANWANI</t>
  </si>
  <si>
    <t>04/01/2016</t>
  </si>
  <si>
    <t>RB6Z</t>
  </si>
  <si>
    <t>ANAND TRADING</t>
  </si>
  <si>
    <t>09/07/2024</t>
  </si>
  <si>
    <t>ZA5</t>
  </si>
  <si>
    <t>UPADHYAY VISHVA JAYESHBHAI</t>
  </si>
  <si>
    <t>25/01/2007</t>
  </si>
  <si>
    <t>RF4</t>
  </si>
  <si>
    <t>SANGITABEN SHAILESHBHAI BHANVADIYA</t>
  </si>
  <si>
    <t>04/04/2022</t>
  </si>
  <si>
    <t>RY2</t>
  </si>
  <si>
    <t>DHARMESHBHAI BECHARBHAI PATEL</t>
  </si>
  <si>
    <t>RZ8</t>
  </si>
  <si>
    <t>DIVYANT RAVJIBHAI BHIMANI</t>
  </si>
  <si>
    <t>24/06/2024</t>
  </si>
  <si>
    <t>RZ7</t>
  </si>
  <si>
    <t>SHITAL MANISH MODI</t>
  </si>
  <si>
    <t>10/08/2017</t>
  </si>
  <si>
    <t>RV2</t>
  </si>
  <si>
    <t>REENA K. RAVAL</t>
  </si>
  <si>
    <t>15/12/2020</t>
  </si>
  <si>
    <t>RW8</t>
  </si>
  <si>
    <t>LALTESH D. SINGH</t>
  </si>
  <si>
    <t>03/04/2023</t>
  </si>
  <si>
    <t>RZ1</t>
  </si>
  <si>
    <t>VISHWAS TRADELINK</t>
  </si>
  <si>
    <t>14/07/2005</t>
  </si>
  <si>
    <t>RB9</t>
  </si>
  <si>
    <t>RAJENDRA CORPORATION</t>
  </si>
  <si>
    <t>08/08/2017</t>
  </si>
  <si>
    <t>RV3</t>
  </si>
  <si>
    <t>ATUL K. SHUKLA</t>
  </si>
  <si>
    <t>19/10/2016</t>
  </si>
  <si>
    <t>RU6</t>
  </si>
  <si>
    <t>ASHUTOSH FINANCIAL SERVICES PRIVATE LIMITED</t>
  </si>
  <si>
    <t>08/06/2023</t>
  </si>
  <si>
    <t>RZ4</t>
  </si>
  <si>
    <t>ASHISH BHAVINBHAI THAKRAR</t>
  </si>
  <si>
    <t>24/08/2015</t>
  </si>
  <si>
    <t>RT8</t>
  </si>
  <si>
    <t>DAXA THAKER</t>
  </si>
  <si>
    <t>16/01/2024</t>
  </si>
  <si>
    <t>RY8</t>
  </si>
  <si>
    <t>KISHAN K MIRANI</t>
  </si>
  <si>
    <t>10/10/2023</t>
  </si>
  <si>
    <t>RB3Z</t>
  </si>
  <si>
    <t>PARIN ARVINDBHAI SHAH</t>
  </si>
  <si>
    <t>XE8</t>
  </si>
  <si>
    <t>VIJAYBHAI BALWANTRAI KAGDI</t>
  </si>
  <si>
    <t>RP1</t>
  </si>
  <si>
    <t>JAY FINANCIAL CONSULTANTS</t>
  </si>
  <si>
    <t>RW7</t>
  </si>
  <si>
    <t>SARALA AJAY KHODABHAI</t>
  </si>
  <si>
    <t>12/04/2023</t>
  </si>
  <si>
    <t>RZ3</t>
  </si>
  <si>
    <t>PARTH POPATBHAI MEGHANI</t>
  </si>
  <si>
    <t>ZA4</t>
  </si>
  <si>
    <t>RAKHI ANAND SHAH</t>
  </si>
  <si>
    <t>10/11/2021</t>
  </si>
  <si>
    <t>RX7</t>
  </si>
  <si>
    <t>HEMALI HARDIK SUVAGIYA</t>
  </si>
  <si>
    <t>04/06/2020</t>
  </si>
  <si>
    <t>RW3</t>
  </si>
  <si>
    <t>KRUNAL L KAKKAD</t>
  </si>
  <si>
    <t>23/05/2024</t>
  </si>
  <si>
    <t>RZ5</t>
  </si>
  <si>
    <t>AMITBHAI ASHOKBHAI CHAVDA</t>
  </si>
  <si>
    <t>28/03/2022</t>
  </si>
  <si>
    <t>RY1</t>
  </si>
  <si>
    <t>JATIN BIPINBHAI GANATRA</t>
  </si>
  <si>
    <t>RX6</t>
  </si>
  <si>
    <t>PARUL A TANK</t>
  </si>
  <si>
    <t>22/08/2024</t>
  </si>
  <si>
    <t>ZA3</t>
  </si>
  <si>
    <t>RIDDHI SHREY GOKANI</t>
  </si>
  <si>
    <t>17/05/2024</t>
  </si>
  <si>
    <t>RZ6</t>
  </si>
  <si>
    <t>PRANIT D MAKWANA</t>
  </si>
  <si>
    <t>19/04/2022</t>
  </si>
  <si>
    <t>RY5</t>
  </si>
  <si>
    <t>JATIN MARWADI</t>
  </si>
  <si>
    <t>06/08/2024</t>
  </si>
  <si>
    <t>ZA6</t>
  </si>
  <si>
    <t>MONAL SANJAYBHAI INDRODIA</t>
  </si>
  <si>
    <t>RCA</t>
  </si>
  <si>
    <t>09/02/2021</t>
  </si>
  <si>
    <t>RC2Y</t>
  </si>
  <si>
    <t>SHREE SADGURU INVESTMENTS</t>
  </si>
  <si>
    <t>22/02/2024</t>
  </si>
  <si>
    <t>RCA3</t>
  </si>
  <si>
    <t>VINAY NILESHKUMAR SHAH</t>
  </si>
  <si>
    <t>RCA2</t>
  </si>
  <si>
    <t>MEET HARSHADBHAI GOVANI</t>
  </si>
  <si>
    <t>20/01/2023</t>
  </si>
  <si>
    <t>RCA1</t>
  </si>
  <si>
    <t>SHIVRAJSINH VISHALDEVSINH CHUDASAMA</t>
  </si>
  <si>
    <t>RG2</t>
  </si>
  <si>
    <t>04/06/2005</t>
  </si>
  <si>
    <t>RAJKOT - RADHA KRISHNAN ROAD - TWO</t>
  </si>
  <si>
    <t>RH</t>
  </si>
  <si>
    <t>RH5Z</t>
  </si>
  <si>
    <t>PRABHABEN C DETROJA</t>
  </si>
  <si>
    <t>31/07/2007</t>
  </si>
  <si>
    <t>RH2</t>
  </si>
  <si>
    <t>GEETA HIMANSHU SARDHARA</t>
  </si>
  <si>
    <t>30/07/2007</t>
  </si>
  <si>
    <t>RH3</t>
  </si>
  <si>
    <t>NIRANJANA HIRENBHAI SARDHARA</t>
  </si>
  <si>
    <t>19/12/2017</t>
  </si>
  <si>
    <t>RHA3</t>
  </si>
  <si>
    <t>SHREE INVESTMENT</t>
  </si>
  <si>
    <t>31/07/2018</t>
  </si>
  <si>
    <t>RF8Y</t>
  </si>
  <si>
    <t>SUN INVESTMENT</t>
  </si>
  <si>
    <t>20/11/2018</t>
  </si>
  <si>
    <t>RHA5</t>
  </si>
  <si>
    <t>BHAVESH G. ZALAVADIYA</t>
  </si>
  <si>
    <t>01/08/2007</t>
  </si>
  <si>
    <t>RH4</t>
  </si>
  <si>
    <t>RITABEN VIJAYBHAI CHOVATIA</t>
  </si>
  <si>
    <t>06/09/2018</t>
  </si>
  <si>
    <t>RHA4</t>
  </si>
  <si>
    <t>RV INVESTMENT</t>
  </si>
  <si>
    <t>26/05/2008</t>
  </si>
  <si>
    <t>RH9</t>
  </si>
  <si>
    <t>DIPA BRIJESH PATEL</t>
  </si>
  <si>
    <t>RL1</t>
  </si>
  <si>
    <t>25/07/2007</t>
  </si>
  <si>
    <t>MSFL-RAJKOT (STAR CHAMBER)</t>
  </si>
  <si>
    <t>RL2</t>
  </si>
  <si>
    <t>26/11/2007</t>
  </si>
  <si>
    <t>MSFL-RAJKOT (PEDAK ROAD)</t>
  </si>
  <si>
    <t>RL3</t>
  </si>
  <si>
    <t>13/05/2008</t>
  </si>
  <si>
    <t>MSFL-RAJKOT (EIGHTY FEET ROAD)</t>
  </si>
  <si>
    <t>RL4</t>
  </si>
  <si>
    <t>30/11/2009</t>
  </si>
  <si>
    <t>MSFL-KALAVAD</t>
  </si>
  <si>
    <t>KALAVAD (SHITLA)</t>
  </si>
  <si>
    <t>RL5</t>
  </si>
  <si>
    <t>16/03/2010</t>
  </si>
  <si>
    <t>MSFL-RAJKOT (MAVDI ROAD)</t>
  </si>
  <si>
    <t>20/04/2015</t>
  </si>
  <si>
    <t>RT2Z</t>
  </si>
  <si>
    <t>DEEPAK J. BHALALA</t>
  </si>
  <si>
    <t>RL6</t>
  </si>
  <si>
    <t>10/12/2009</t>
  </si>
  <si>
    <t>MSFL-RAJKOT (RADHA KRISHNAN ROAD)</t>
  </si>
  <si>
    <t>RL7</t>
  </si>
  <si>
    <t>MSFL-RAJKOT (SADHUVASVANI ROAD)</t>
  </si>
  <si>
    <t>06/07/2020</t>
  </si>
  <si>
    <t>RW4</t>
  </si>
  <si>
    <t>PAYALBA SHIVBHADRASINH PADHIYAR</t>
  </si>
  <si>
    <t>RL8</t>
  </si>
  <si>
    <t>13/07/2010</t>
  </si>
  <si>
    <t>MSFL-RAJKOT (RAIYA ROAD)</t>
  </si>
  <si>
    <t>RL9</t>
  </si>
  <si>
    <t>25/07/2013</t>
  </si>
  <si>
    <t>MSFL-RAJKOT (KRISHNA CON-ARCH)</t>
  </si>
  <si>
    <t>RLA1</t>
  </si>
  <si>
    <t>19/08/2013</t>
  </si>
  <si>
    <t>MSFL-RAJKOT (SONI BAZAR)</t>
  </si>
  <si>
    <t>RLA3</t>
  </si>
  <si>
    <t>21/05/2015</t>
  </si>
  <si>
    <t>MSFL-RAJKOT (MARKETING YARD)</t>
  </si>
  <si>
    <t>RLA4</t>
  </si>
  <si>
    <t>17/08/2016</t>
  </si>
  <si>
    <t>MSFL-RAJKOT (GAYATRINAGAR MAIN ROAD)</t>
  </si>
  <si>
    <t>RNV1</t>
  </si>
  <si>
    <t>24/04/2009</t>
  </si>
  <si>
    <t>MSFL-RANAVAV</t>
  </si>
  <si>
    <t>RANAVAV</t>
  </si>
  <si>
    <t>29/06/2020</t>
  </si>
  <si>
    <t>RNV4</t>
  </si>
  <si>
    <t>RAVI DHANANJAY SHUKLA</t>
  </si>
  <si>
    <t>09/02/2017</t>
  </si>
  <si>
    <t>RNV3</t>
  </si>
  <si>
    <t>NIRAJKUMAR N. KOTECHA</t>
  </si>
  <si>
    <t>RX</t>
  </si>
  <si>
    <t>02/11/2021</t>
  </si>
  <si>
    <t>RX5Z</t>
  </si>
  <si>
    <t>DEVIKA D SHAH</t>
  </si>
  <si>
    <t>06/10/2021</t>
  </si>
  <si>
    <t>RX5A</t>
  </si>
  <si>
    <t>SAHAJ MANISH DOSHI</t>
  </si>
  <si>
    <t>22/09/2021</t>
  </si>
  <si>
    <t>RX5B</t>
  </si>
  <si>
    <t>ANIL LILARAM POPTANI</t>
  </si>
  <si>
    <t>SID1</t>
  </si>
  <si>
    <t>29/05/2013</t>
  </si>
  <si>
    <t>MSFL-SIDDHPUR</t>
  </si>
  <si>
    <t>SIDDHPUR</t>
  </si>
  <si>
    <t>SKUNDLA</t>
  </si>
  <si>
    <t>07/12/2009</t>
  </si>
  <si>
    <t>SK4</t>
  </si>
  <si>
    <t>JAYNATH INVESTMENT</t>
  </si>
  <si>
    <t>BILKHA</t>
  </si>
  <si>
    <t>SO1</t>
  </si>
  <si>
    <t>11/02/2009</t>
  </si>
  <si>
    <t>MSFL-SIHOR</t>
  </si>
  <si>
    <t>SIHOR</t>
  </si>
  <si>
    <t>SU1</t>
  </si>
  <si>
    <t>MSFL-SURAT</t>
  </si>
  <si>
    <t>SURAT</t>
  </si>
  <si>
    <t>07/09/2007</t>
  </si>
  <si>
    <t>SV7</t>
  </si>
  <si>
    <t>TAILOR PREYASH MAHENDRABHAI</t>
  </si>
  <si>
    <t>SU2</t>
  </si>
  <si>
    <t>VALUE SECURITY &amp; INVESTMENT</t>
  </si>
  <si>
    <t>30/04/2007</t>
  </si>
  <si>
    <t>SV5</t>
  </si>
  <si>
    <t>26/09/2007</t>
  </si>
  <si>
    <t>SR1</t>
  </si>
  <si>
    <t>CHINTAN HITENDRA SHAH</t>
  </si>
  <si>
    <t>19/02/2007</t>
  </si>
  <si>
    <t>SV4</t>
  </si>
  <si>
    <t>MANISHABEN VIMALKUMAR DHOLA</t>
  </si>
  <si>
    <t>SUR1</t>
  </si>
  <si>
    <t>08/05/2015</t>
  </si>
  <si>
    <t>MSFL-SURAT (ADAJN)</t>
  </si>
  <si>
    <t>16/12/2021</t>
  </si>
  <si>
    <t>SUR4</t>
  </si>
  <si>
    <t>SMIT YATIN SHAH</t>
  </si>
  <si>
    <t>15/09/2005</t>
  </si>
  <si>
    <t>HA1</t>
  </si>
  <si>
    <t>THE MAHARAJA INVESTMENTS</t>
  </si>
  <si>
    <t>SURE</t>
  </si>
  <si>
    <t>N2</t>
  </si>
  <si>
    <t>ANERI INVESTMENT</t>
  </si>
  <si>
    <t>N3</t>
  </si>
  <si>
    <t>AAGAM ENTERPRISE</t>
  </si>
  <si>
    <t>N5</t>
  </si>
  <si>
    <t>HARESHKUMAR CHANDRAKANTBHAI DOSHI</t>
  </si>
  <si>
    <t>04/06/2021</t>
  </si>
  <si>
    <t>MOR1Z</t>
  </si>
  <si>
    <t>TANVIBEN H DOSHI</t>
  </si>
  <si>
    <t>25/09/2023</t>
  </si>
  <si>
    <t>NSA9Z</t>
  </si>
  <si>
    <t>TEJALBEN HIRENBHAI GANDHI</t>
  </si>
  <si>
    <t>11/08/2005</t>
  </si>
  <si>
    <t>N8</t>
  </si>
  <si>
    <t>RAJVI ENTERPRISE</t>
  </si>
  <si>
    <t>28/01/2009</t>
  </si>
  <si>
    <t>NSA1</t>
  </si>
  <si>
    <t>SANKET K VORA</t>
  </si>
  <si>
    <t>12/12/2007</t>
  </si>
  <si>
    <t>NS6</t>
  </si>
  <si>
    <t>VELSHIBHAI POPATBHAI BAGADIA</t>
  </si>
  <si>
    <t>04/05/2015</t>
  </si>
  <si>
    <t>NS4Z</t>
  </si>
  <si>
    <t>DHARA J. SANGHVI</t>
  </si>
  <si>
    <t>03/10/2017</t>
  </si>
  <si>
    <t>N7Z</t>
  </si>
  <si>
    <t>JATIN B. SHAH</t>
  </si>
  <si>
    <t>WADHWAN</t>
  </si>
  <si>
    <t>15/12/2021</t>
  </si>
  <si>
    <t>NSC2</t>
  </si>
  <si>
    <t>JITESH C GANDHI</t>
  </si>
  <si>
    <t>15/07/2009</t>
  </si>
  <si>
    <t>NSA3</t>
  </si>
  <si>
    <t>HIMANSHU KIRTIKUMAR SHAH</t>
  </si>
  <si>
    <t>JORAVARNAGAR</t>
  </si>
  <si>
    <t>03/08/2015</t>
  </si>
  <si>
    <t>L9Z</t>
  </si>
  <si>
    <t>ADINATH INVESTMENT</t>
  </si>
  <si>
    <t>LIMBDI</t>
  </si>
  <si>
    <t>17/03/2017</t>
  </si>
  <si>
    <t>NSB7</t>
  </si>
  <si>
    <t>ADESH VIRENDRAKUMAR DOSHI</t>
  </si>
  <si>
    <t>27/07/2007</t>
  </si>
  <si>
    <t>NS2</t>
  </si>
  <si>
    <t>JIMIT INVESTMENT</t>
  </si>
  <si>
    <t>05/05/2022</t>
  </si>
  <si>
    <t>NSC3</t>
  </si>
  <si>
    <t>JIGNESH A BHALGAMA</t>
  </si>
  <si>
    <t>15/12/2009</t>
  </si>
  <si>
    <t>NSA6</t>
  </si>
  <si>
    <t>ROSHANIBEN VIMALBHAI SANGHAVI</t>
  </si>
  <si>
    <t>02/06/2021</t>
  </si>
  <si>
    <t>NSC1</t>
  </si>
  <si>
    <t>MEET NITIN DOSHI</t>
  </si>
  <si>
    <t>27/07/2016</t>
  </si>
  <si>
    <t>NSB5</t>
  </si>
  <si>
    <t>NIDHI INVESTMENT</t>
  </si>
  <si>
    <t>28/05/2015</t>
  </si>
  <si>
    <t>NSB4</t>
  </si>
  <si>
    <t>PATEL VARSHABEN J</t>
  </si>
  <si>
    <t>12/04/2018</t>
  </si>
  <si>
    <t>NSB9</t>
  </si>
  <si>
    <t>HIMATLAL GANESHBHAI BHALGAMA</t>
  </si>
  <si>
    <t>29/03/2010</t>
  </si>
  <si>
    <t>NSA9</t>
  </si>
  <si>
    <t>HIREN KIRTIKANT GANDHI</t>
  </si>
  <si>
    <t>TG1</t>
  </si>
  <si>
    <t>09/05/2013</t>
  </si>
  <si>
    <t>MSFL-TALALA GIR</t>
  </si>
  <si>
    <t>TALALA</t>
  </si>
  <si>
    <t>10/06/2024</t>
  </si>
  <si>
    <t>TG3</t>
  </si>
  <si>
    <t>VINOD RAMABHAI VADHER</t>
  </si>
  <si>
    <t>PRACHI</t>
  </si>
  <si>
    <t>TK1</t>
  </si>
  <si>
    <t>31/10/2013</t>
  </si>
  <si>
    <t>MSFL-TANKARA</t>
  </si>
  <si>
    <t>TANKARA</t>
  </si>
  <si>
    <t>UA1</t>
  </si>
  <si>
    <t>08/02/2008</t>
  </si>
  <si>
    <t>UN3</t>
  </si>
  <si>
    <t>HINALBEN RAKESHKUMAR SHAH</t>
  </si>
  <si>
    <t>UNA</t>
  </si>
  <si>
    <t>11/12/2007</t>
  </si>
  <si>
    <t>MSFL-UNA</t>
  </si>
  <si>
    <t>10/12/2007</t>
  </si>
  <si>
    <t>UN2</t>
  </si>
  <si>
    <t>PADMAVATI INVESTMENT</t>
  </si>
  <si>
    <t>UJ5</t>
  </si>
  <si>
    <t>24/08/2007</t>
  </si>
  <si>
    <t>UJ9</t>
  </si>
  <si>
    <t>PROFIT INVESTMENT</t>
  </si>
  <si>
    <t>UNJHA</t>
  </si>
  <si>
    <t>15/01/2021</t>
  </si>
  <si>
    <t>UJB5</t>
  </si>
  <si>
    <t>VIJAYKUMAR HIRALAL NAYI</t>
  </si>
  <si>
    <t>UP1</t>
  </si>
  <si>
    <t>31/03/2008</t>
  </si>
  <si>
    <t>MSFL-UPLETA</t>
  </si>
  <si>
    <t>UPLETA</t>
  </si>
  <si>
    <t>VJ1</t>
  </si>
  <si>
    <t>16/05/2017</t>
  </si>
  <si>
    <t>MSFL-VIJAPUR</t>
  </si>
  <si>
    <t>VIJAPUR</t>
  </si>
  <si>
    <t>VL1</t>
  </si>
  <si>
    <t>09/11/2005</t>
  </si>
  <si>
    <t>MSFL-VALSAD</t>
  </si>
  <si>
    <t>VALSAD</t>
  </si>
  <si>
    <t>03/02/2006</t>
  </si>
  <si>
    <t>VL3</t>
  </si>
  <si>
    <t>ASHITA YATINKUMAR SHAH</t>
  </si>
  <si>
    <t>VLA1</t>
  </si>
  <si>
    <t>JIGISH DHANANJAY MARJADI</t>
  </si>
  <si>
    <t>VP1</t>
  </si>
  <si>
    <t>MSFL-VAPI</t>
  </si>
  <si>
    <t>VAPI</t>
  </si>
  <si>
    <t>VP8</t>
  </si>
  <si>
    <t>RAJESH S KANAKIYA</t>
  </si>
  <si>
    <t>SILVASSA</t>
  </si>
  <si>
    <t>Dadra and Nagar Haveli</t>
  </si>
  <si>
    <t>VS1</t>
  </si>
  <si>
    <t>11/09/2007</t>
  </si>
  <si>
    <t>MSFL-VISNAGAR</t>
  </si>
  <si>
    <t>VISNAGAR</t>
  </si>
  <si>
    <t>18/08/2017</t>
  </si>
  <si>
    <t>VS6</t>
  </si>
  <si>
    <t>HARSHADBHAI CHATURBHAI PATEL</t>
  </si>
  <si>
    <t>VVA1</t>
  </si>
  <si>
    <t>30/11/2010</t>
  </si>
  <si>
    <t>MSFL-VERAVAL (LODHIYA HOUSE)</t>
  </si>
  <si>
    <t>VVB1</t>
  </si>
  <si>
    <t>01/08/2016</t>
  </si>
  <si>
    <t>MSFL-VERAVAL (EIGHTY FEET ROAD)</t>
  </si>
  <si>
    <t>VY1</t>
  </si>
  <si>
    <t>14/05/2015</t>
  </si>
  <si>
    <t>MSFL-VYARA</t>
  </si>
  <si>
    <t>VYARA</t>
  </si>
  <si>
    <t>WN3</t>
  </si>
  <si>
    <t>24/03/2008</t>
  </si>
  <si>
    <t>MSFL-WANKANER</t>
  </si>
  <si>
    <t>WANKANER</t>
  </si>
  <si>
    <t>X</t>
  </si>
  <si>
    <t>X21</t>
  </si>
  <si>
    <t>RAVIRAJ SECURITIES PVT. LTD.</t>
  </si>
  <si>
    <t>19/03/2018</t>
  </si>
  <si>
    <t>x98z</t>
  </si>
  <si>
    <t>VIKRAM MEHTA</t>
  </si>
  <si>
    <t>30/06/2005</t>
  </si>
  <si>
    <t>X87</t>
  </si>
  <si>
    <t>RAJESH CHIMANLAL JAVIA</t>
  </si>
  <si>
    <t>29/07/2005</t>
  </si>
  <si>
    <t>x41</t>
  </si>
  <si>
    <t>RAKESH AMRUTLAL PAREKH</t>
  </si>
  <si>
    <t>XC5</t>
  </si>
  <si>
    <t>JIGAR SECURITIES PRIVATE LIMITED</t>
  </si>
  <si>
    <t>X72</t>
  </si>
  <si>
    <t>ATISH CHAMANLAL RAVANI</t>
  </si>
  <si>
    <t>01/07/2022</t>
  </si>
  <si>
    <t>X84Z</t>
  </si>
  <si>
    <t>SHIV INVESTMENT</t>
  </si>
  <si>
    <t>PADDHARI</t>
  </si>
  <si>
    <t>22/10/2020</t>
  </si>
  <si>
    <t>XC4</t>
  </si>
  <si>
    <t>JEEL INVESTMENT</t>
  </si>
  <si>
    <t>X31</t>
  </si>
  <si>
    <t>MUKESH HIMATLAL BAGADIA</t>
  </si>
  <si>
    <t>12/02/2008</t>
  </si>
  <si>
    <t>XA1</t>
  </si>
  <si>
    <t>ASHOK J SHAH</t>
  </si>
  <si>
    <t>BOTAD</t>
  </si>
  <si>
    <t>22/07/2005</t>
  </si>
  <si>
    <t>X89</t>
  </si>
  <si>
    <t>PARESH NARANBHAI CHOTALIYA</t>
  </si>
  <si>
    <t>RAJULA</t>
  </si>
  <si>
    <t>26/08/2008</t>
  </si>
  <si>
    <t>XD5</t>
  </si>
  <si>
    <t>BHUPENDRA NATWARLAL BHUPTANI</t>
  </si>
  <si>
    <t>X26Z</t>
  </si>
  <si>
    <t>PINKAL PRAFULCHANDRA MEHTA</t>
  </si>
  <si>
    <t>02/08/2006</t>
  </si>
  <si>
    <t>X62</t>
  </si>
  <si>
    <t>JAGDISHKUMAR LALJIBHAI SONI</t>
  </si>
  <si>
    <t>23/01/2007</t>
  </si>
  <si>
    <t>X95</t>
  </si>
  <si>
    <t>R. K. ENTERPRISE</t>
  </si>
  <si>
    <t>09/11/2007</t>
  </si>
  <si>
    <t>X49</t>
  </si>
  <si>
    <t>ATUL RATIBHAI BHUT</t>
  </si>
  <si>
    <t>13/12/2005</t>
  </si>
  <si>
    <t>X90</t>
  </si>
  <si>
    <t>VIJAY INVESTMENT</t>
  </si>
  <si>
    <t>THANGADH</t>
  </si>
  <si>
    <t>X53</t>
  </si>
  <si>
    <t>ASHUTOSH INVESTMENT</t>
  </si>
  <si>
    <t>27/06/2005</t>
  </si>
  <si>
    <t>X36</t>
  </si>
  <si>
    <t>MANISH RATILAL KALYANI</t>
  </si>
  <si>
    <t>01/03/2018</t>
  </si>
  <si>
    <t>X38Z</t>
  </si>
  <si>
    <t>PYRAMID FINCAP</t>
  </si>
  <si>
    <t>X28</t>
  </si>
  <si>
    <t>SARAL PRAFULBHAI KOTHARI</t>
  </si>
  <si>
    <t>04/10/2005</t>
  </si>
  <si>
    <t>X46</t>
  </si>
  <si>
    <t>BHAVEN DINESHBHAI SANGHAVI</t>
  </si>
  <si>
    <t>04/09/2013</t>
  </si>
  <si>
    <t>X83Z</t>
  </si>
  <si>
    <t>R &amp; K INVESTMENT</t>
  </si>
  <si>
    <t>DHARI</t>
  </si>
  <si>
    <t>X81</t>
  </si>
  <si>
    <t>XE9</t>
  </si>
  <si>
    <t>VIPUL INDULAL BUDDHDEV</t>
  </si>
  <si>
    <t>19/02/2008</t>
  </si>
  <si>
    <t>XA8</t>
  </si>
  <si>
    <t>HIRENKUMAR MEGHJIBHAI DHAMELIYA</t>
  </si>
  <si>
    <t>13/07/2007</t>
  </si>
  <si>
    <t>X65</t>
  </si>
  <si>
    <t>YASHVANT KANTILAL SHAH</t>
  </si>
  <si>
    <t>06/04/2021</t>
  </si>
  <si>
    <t>X51V</t>
  </si>
  <si>
    <t>MOHIL NILESH KALYANI</t>
  </si>
  <si>
    <t>X04</t>
  </si>
  <si>
    <t>IMPULSE INVESTMENT</t>
  </si>
  <si>
    <t>31/01/2011</t>
  </si>
  <si>
    <t>X82Z</t>
  </si>
  <si>
    <t>SHIV STOCK BROKER</t>
  </si>
  <si>
    <t>XC3</t>
  </si>
  <si>
    <t>MADHVI A. SOMAIYA</t>
  </si>
  <si>
    <t>JASDAN</t>
  </si>
  <si>
    <t>X30</t>
  </si>
  <si>
    <t>BHAVESHBHAI N. MEHTA</t>
  </si>
  <si>
    <t>X85</t>
  </si>
  <si>
    <t>RAJESH PARMANANDDAS AMBANI</t>
  </si>
  <si>
    <t>08/08/2005</t>
  </si>
  <si>
    <t>X42</t>
  </si>
  <si>
    <t>AMAR BHARATBHAI KOTHARI</t>
  </si>
  <si>
    <t>X27</t>
  </si>
  <si>
    <t>NIMISH DHIRAJLAL DALAL</t>
  </si>
  <si>
    <t>X51Y</t>
  </si>
  <si>
    <t>HITABEN NILESHBHAI KALYANI</t>
  </si>
  <si>
    <t>X50</t>
  </si>
  <si>
    <t>VIREN HARISHBHAI SARAIYA</t>
  </si>
  <si>
    <t>21/02/2017</t>
  </si>
  <si>
    <t>XD9Z</t>
  </si>
  <si>
    <t>CHIRAG NITINBHAI PAREKH</t>
  </si>
  <si>
    <t>05/04/2016</t>
  </si>
  <si>
    <t>XD4</t>
  </si>
  <si>
    <t>HIMANSHU GOVIND DEVANI</t>
  </si>
  <si>
    <t>02/05/2017</t>
  </si>
  <si>
    <t>XE6</t>
  </si>
  <si>
    <t>MAYUR SHAILESHBHAI SHETH</t>
  </si>
  <si>
    <t>24/05/2017</t>
  </si>
  <si>
    <t>XD8Z</t>
  </si>
  <si>
    <t>JYOTIN G. BOGHANI</t>
  </si>
  <si>
    <t>19/08/2024</t>
  </si>
  <si>
    <t>XF2</t>
  </si>
  <si>
    <t>NAMAN HITESHBHAI MANIYAR</t>
  </si>
  <si>
    <t>03/06/2019</t>
  </si>
  <si>
    <t>X25V</t>
  </si>
  <si>
    <t>VAIBHAV SUNILKUMAR RATHOD</t>
  </si>
  <si>
    <t>Branch Wise CP wise City Wise  Cumulative Format Wise,CP CityFor Consoleted one Columns for Delivery &amp; Squre Up Turnover,With Yield and Combined Segment wise Report For All Segment &amp; All Client</t>
  </si>
  <si>
    <t>TOTAL</t>
  </si>
  <si>
    <t>Branch ID</t>
  </si>
  <si>
    <t>Channel ID</t>
  </si>
  <si>
    <t>Channel Name</t>
  </si>
  <si>
    <t>State</t>
  </si>
  <si>
    <t>Turnover</t>
  </si>
  <si>
    <t>Brokerage</t>
  </si>
  <si>
    <t>Passout</t>
  </si>
  <si>
    <t>Yield</t>
  </si>
  <si>
    <t>Net Brokerage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</si>
</sst>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9"/>
      <color rgb="FFFF0000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3" fillId="0" borderId="0" xfId="1" applyNumberFormat="1" applyFont="1" applyAlignment="1">
      <alignment horizontal="center" vertical="top" wrapText="1"/>
    </xf>
    <xf numFmtId="164" fontId="2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wrapText="1"/>
    </xf>
    <xf numFmtId="0" fontId="1" fillId="0" borderId="0" xfId="0" applyFont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" fillFormulas="1" connectionId="1" autoFormatId="16" applyNumberFormats="0" applyBorderFormats="0" applyFontFormats="1" applyPatternFormats="1" applyAlignmentFormats="0" applyWidthHeightFormats="0">
  <queryTableRefresh nextId="12">
    <queryTableFields count="11">
      <queryTableField id="1" name="brcid"/>
      <queryTableField id="2" name="FIRST DATE OF TRADING"/>
      <queryTableField id="3" name="Chnlid"/>
      <queryTableField id="4" name="ChnlName"/>
      <queryTableField id="5" name="City"/>
      <queryTableField id="6" name="STATE"/>
      <queryTableField id="7" name="1stYear  Turn."/>
      <queryTableField id="8" name="1stYear  Brok."/>
      <queryTableField id="9" name="1ST YEAR CPPASSOUT"/>
      <queryTableField id="11" dataBound="0" fillFormulas="1"/>
      <queryTableField id="10" name="1stYear  Yield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3"/>
  <sheetViews>
    <sheetView tabSelected="1" topLeftCell="E1" workbookViewId="0">
      <pane ySplit="2" topLeftCell="A516" activePane="bottomLeft" state="frozen"/>
      <selection pane="bottomLeft" activeCell="G519" sqref="G519"/>
    </sheetView>
  </sheetViews>
  <sheetFormatPr defaultRowHeight="11.25" x14ac:dyDescent="0.15"/>
  <cols>
    <col min="1" max="1" width="11.140625" style="1" bestFit="1" customWidth="1"/>
    <col min="2" max="2" width="15.7109375" style="1" customWidth="1"/>
    <col min="3" max="3" width="7.28515625" style="1" bestFit="1" customWidth="1"/>
    <col min="4" max="4" width="54.140625" style="1" bestFit="1" customWidth="1"/>
    <col min="5" max="5" width="15.7109375" style="1" customWidth="1"/>
    <col min="6" max="6" width="22" style="1" bestFit="1" customWidth="1"/>
    <col min="7" max="7" width="23.28515625" style="8" bestFit="1" customWidth="1"/>
    <col min="8" max="10" width="16.7109375" style="8" bestFit="1" customWidth="1"/>
    <col min="11" max="11" width="9.85546875" style="1" bestFit="1" customWidth="1"/>
    <col min="12" max="16384" width="9.140625" style="1"/>
  </cols>
  <sheetData>
    <row r="1" spans="1:11" ht="30" customHeight="1" x14ac:dyDescent="0.15">
      <c r="A1" s="9" t="s">
        <v>1628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2" customFormat="1" ht="22.5" x14ac:dyDescent="0.25">
      <c r="A2" s="2" t="s">
        <v>1630</v>
      </c>
      <c r="B2" s="2" t="s">
        <v>0</v>
      </c>
      <c r="C2" s="2" t="s">
        <v>1631</v>
      </c>
      <c r="D2" s="2" t="s">
        <v>1632</v>
      </c>
      <c r="E2" s="2" t="s">
        <v>1</v>
      </c>
      <c r="F2" s="2" t="s">
        <v>1633</v>
      </c>
      <c r="G2" s="5" t="s">
        <v>1634</v>
      </c>
      <c r="H2" s="5" t="s">
        <v>1635</v>
      </c>
      <c r="I2" s="5" t="s">
        <v>1636</v>
      </c>
      <c r="J2" s="5" t="s">
        <v>1638</v>
      </c>
      <c r="K2" s="2" t="s">
        <v>1637</v>
      </c>
    </row>
    <row r="3" spans="1:11" s="3" customFormat="1" ht="15" customHeight="1" x14ac:dyDescent="0.25">
      <c r="A3" s="3" t="s">
        <v>2</v>
      </c>
      <c r="B3" s="3" t="s">
        <v>3</v>
      </c>
      <c r="C3" s="3" t="s">
        <v>2</v>
      </c>
      <c r="D3" s="3" t="s">
        <v>4</v>
      </c>
      <c r="E3" s="3" t="s">
        <v>5</v>
      </c>
      <c r="F3" s="3" t="s">
        <v>6</v>
      </c>
      <c r="G3" s="6">
        <v>3227422216.7800002</v>
      </c>
      <c r="H3" s="6">
        <v>2477679.38</v>
      </c>
      <c r="I3" s="6">
        <v>14962.04</v>
      </c>
      <c r="J3" s="6">
        <f>H3-I3</f>
        <v>2462717.34</v>
      </c>
      <c r="K3" s="3">
        <v>7.0000000000000007E-2</v>
      </c>
    </row>
    <row r="4" spans="1:11" s="3" customFormat="1" ht="15" customHeight="1" x14ac:dyDescent="0.25">
      <c r="A4" s="3" t="s">
        <v>7</v>
      </c>
      <c r="B4" s="3" t="s">
        <v>8</v>
      </c>
      <c r="C4" s="3" t="s">
        <v>7</v>
      </c>
      <c r="D4" s="3" t="s">
        <v>9</v>
      </c>
      <c r="E4" s="3" t="s">
        <v>5</v>
      </c>
      <c r="F4" s="3" t="s">
        <v>6</v>
      </c>
      <c r="G4" s="6">
        <v>9231734381.5400009</v>
      </c>
      <c r="H4" s="6">
        <v>9974630.9499999993</v>
      </c>
      <c r="I4" s="6">
        <v>13007.25</v>
      </c>
      <c r="J4" s="6">
        <f t="shared" ref="J4:J67" si="0">H4-I4</f>
        <v>9961623.6999999993</v>
      </c>
      <c r="K4" s="3">
        <v>0.1</v>
      </c>
    </row>
    <row r="5" spans="1:11" s="3" customFormat="1" ht="15" customHeight="1" x14ac:dyDescent="0.25">
      <c r="A5" s="3" t="s">
        <v>7</v>
      </c>
      <c r="B5" s="3" t="s">
        <v>10</v>
      </c>
      <c r="C5" s="3" t="s">
        <v>11</v>
      </c>
      <c r="D5" s="3" t="s">
        <v>12</v>
      </c>
      <c r="E5" s="3" t="s">
        <v>5</v>
      </c>
      <c r="F5" s="3" t="s">
        <v>6</v>
      </c>
      <c r="G5" s="6">
        <v>266348.90000000002</v>
      </c>
      <c r="H5" s="6">
        <v>665.91</v>
      </c>
      <c r="I5" s="6">
        <v>432.84</v>
      </c>
      <c r="J5" s="6">
        <f t="shared" si="0"/>
        <v>233.07</v>
      </c>
      <c r="K5" s="3">
        <v>0.25</v>
      </c>
    </row>
    <row r="6" spans="1:11" s="3" customFormat="1" ht="15" customHeight="1" x14ac:dyDescent="0.25">
      <c r="A6" s="3" t="s">
        <v>13</v>
      </c>
      <c r="B6" s="3" t="s">
        <v>14</v>
      </c>
      <c r="C6" s="3" t="s">
        <v>13</v>
      </c>
      <c r="D6" s="3" t="s">
        <v>15</v>
      </c>
      <c r="E6" s="3" t="s">
        <v>5</v>
      </c>
      <c r="F6" s="3" t="s">
        <v>6</v>
      </c>
      <c r="G6" s="6">
        <v>2760225327094.3701</v>
      </c>
      <c r="H6" s="6">
        <v>6639407.2400000002</v>
      </c>
      <c r="I6" s="6">
        <v>0</v>
      </c>
      <c r="J6" s="6">
        <f t="shared" si="0"/>
        <v>6639407.2400000002</v>
      </c>
      <c r="K6" s="3">
        <v>0</v>
      </c>
    </row>
    <row r="7" spans="1:11" s="3" customFormat="1" ht="15" customHeight="1" x14ac:dyDescent="0.25">
      <c r="A7" s="3" t="s">
        <v>16</v>
      </c>
      <c r="B7" s="3" t="s">
        <v>17</v>
      </c>
      <c r="C7" s="3" t="s">
        <v>16</v>
      </c>
      <c r="D7" s="3" t="s">
        <v>18</v>
      </c>
      <c r="E7" s="3" t="s">
        <v>19</v>
      </c>
      <c r="F7" s="3" t="s">
        <v>20</v>
      </c>
      <c r="G7" s="6">
        <v>644725866233.42004</v>
      </c>
      <c r="H7" s="6">
        <v>47554605.869999997</v>
      </c>
      <c r="I7" s="6">
        <v>5265964.3600000003</v>
      </c>
      <c r="J7" s="6">
        <f t="shared" si="0"/>
        <v>42288641.509999998</v>
      </c>
      <c r="K7" s="3">
        <v>0</v>
      </c>
    </row>
    <row r="8" spans="1:11" s="3" customFormat="1" ht="15" customHeight="1" x14ac:dyDescent="0.25">
      <c r="A8" s="3" t="s">
        <v>16</v>
      </c>
      <c r="B8" s="3" t="s">
        <v>21</v>
      </c>
      <c r="C8" s="3" t="s">
        <v>22</v>
      </c>
      <c r="D8" s="3" t="s">
        <v>23</v>
      </c>
      <c r="E8" s="3" t="s">
        <v>19</v>
      </c>
      <c r="F8" s="3" t="s">
        <v>20</v>
      </c>
      <c r="G8" s="6">
        <v>3259384321.5799999</v>
      </c>
      <c r="H8" s="6">
        <v>3835916.49</v>
      </c>
      <c r="I8" s="6">
        <v>3016543.75</v>
      </c>
      <c r="J8" s="6">
        <f t="shared" si="0"/>
        <v>819372.74000000022</v>
      </c>
      <c r="K8" s="3">
        <v>0.11</v>
      </c>
    </row>
    <row r="9" spans="1:11" s="3" customFormat="1" ht="15" customHeight="1" x14ac:dyDescent="0.25">
      <c r="A9" s="3" t="s">
        <v>16</v>
      </c>
      <c r="B9" s="3" t="s">
        <v>24</v>
      </c>
      <c r="C9" s="3" t="s">
        <v>25</v>
      </c>
      <c r="D9" s="3" t="s">
        <v>26</v>
      </c>
      <c r="E9" s="3" t="s">
        <v>19</v>
      </c>
      <c r="F9" s="3" t="s">
        <v>20</v>
      </c>
      <c r="G9" s="6">
        <v>3163418335.98</v>
      </c>
      <c r="H9" s="6">
        <v>4417059.0999999996</v>
      </c>
      <c r="I9" s="6">
        <v>2645487.87</v>
      </c>
      <c r="J9" s="6">
        <f t="shared" si="0"/>
        <v>1771571.2299999995</v>
      </c>
      <c r="K9" s="3">
        <v>0.13</v>
      </c>
    </row>
    <row r="10" spans="1:11" s="3" customFormat="1" ht="15" customHeight="1" x14ac:dyDescent="0.25">
      <c r="A10" s="3" t="s">
        <v>16</v>
      </c>
      <c r="B10" s="3" t="s">
        <v>27</v>
      </c>
      <c r="C10" s="3" t="s">
        <v>28</v>
      </c>
      <c r="D10" s="3" t="s">
        <v>29</v>
      </c>
      <c r="E10" s="3" t="s">
        <v>19</v>
      </c>
      <c r="F10" s="3" t="s">
        <v>20</v>
      </c>
      <c r="G10" s="6">
        <v>2752934497.1300001</v>
      </c>
      <c r="H10" s="6">
        <v>3487412.68</v>
      </c>
      <c r="I10" s="6">
        <v>1717707.87</v>
      </c>
      <c r="J10" s="6">
        <f t="shared" si="0"/>
        <v>1769704.81</v>
      </c>
      <c r="K10" s="3">
        <v>0.12</v>
      </c>
    </row>
    <row r="11" spans="1:11" s="3" customFormat="1" ht="15" customHeight="1" x14ac:dyDescent="0.25">
      <c r="A11" s="3" t="s">
        <v>16</v>
      </c>
      <c r="B11" s="3" t="s">
        <v>30</v>
      </c>
      <c r="C11" s="3" t="s">
        <v>31</v>
      </c>
      <c r="D11" s="3" t="s">
        <v>32</v>
      </c>
      <c r="E11" s="3" t="s">
        <v>19</v>
      </c>
      <c r="F11" s="3" t="s">
        <v>20</v>
      </c>
      <c r="G11" s="6">
        <v>2683851979.9299998</v>
      </c>
      <c r="H11" s="6">
        <v>4363412.72</v>
      </c>
      <c r="I11" s="6">
        <v>3197532.96</v>
      </c>
      <c r="J11" s="6">
        <f t="shared" si="0"/>
        <v>1165879.7599999998</v>
      </c>
      <c r="K11" s="3">
        <v>0.16</v>
      </c>
    </row>
    <row r="12" spans="1:11" s="3" customFormat="1" ht="15" customHeight="1" x14ac:dyDescent="0.25">
      <c r="A12" s="3" t="s">
        <v>16</v>
      </c>
      <c r="B12" s="3" t="s">
        <v>33</v>
      </c>
      <c r="C12" s="3" t="s">
        <v>34</v>
      </c>
      <c r="D12" s="3" t="s">
        <v>35</v>
      </c>
      <c r="E12" s="3" t="s">
        <v>19</v>
      </c>
      <c r="F12" s="3" t="s">
        <v>20</v>
      </c>
      <c r="G12" s="6">
        <v>1250161438.1900001</v>
      </c>
      <c r="H12" s="6">
        <v>1068786.53</v>
      </c>
      <c r="I12" s="6">
        <v>572069.64</v>
      </c>
      <c r="J12" s="6">
        <f t="shared" si="0"/>
        <v>496716.89</v>
      </c>
      <c r="K12" s="3">
        <v>0.08</v>
      </c>
    </row>
    <row r="13" spans="1:11" s="3" customFormat="1" ht="15" customHeight="1" x14ac:dyDescent="0.25">
      <c r="A13" s="3" t="s">
        <v>16</v>
      </c>
      <c r="B13" s="3" t="s">
        <v>36</v>
      </c>
      <c r="C13" s="3" t="s">
        <v>37</v>
      </c>
      <c r="D13" s="3" t="s">
        <v>38</v>
      </c>
      <c r="E13" s="3" t="s">
        <v>19</v>
      </c>
      <c r="F13" s="3" t="s">
        <v>20</v>
      </c>
      <c r="G13" s="6">
        <v>742041720.23000002</v>
      </c>
      <c r="H13" s="6">
        <v>1188888.6100000001</v>
      </c>
      <c r="I13" s="6">
        <v>951110.16</v>
      </c>
      <c r="J13" s="6">
        <f t="shared" si="0"/>
        <v>237778.45000000007</v>
      </c>
      <c r="K13" s="3">
        <v>0.16</v>
      </c>
    </row>
    <row r="14" spans="1:11" s="3" customFormat="1" ht="15" customHeight="1" x14ac:dyDescent="0.25">
      <c r="A14" s="3" t="s">
        <v>16</v>
      </c>
      <c r="B14" s="3" t="s">
        <v>39</v>
      </c>
      <c r="C14" s="3" t="s">
        <v>40</v>
      </c>
      <c r="D14" s="3" t="s">
        <v>41</v>
      </c>
      <c r="E14" s="3" t="s">
        <v>19</v>
      </c>
      <c r="F14" s="3" t="s">
        <v>20</v>
      </c>
      <c r="G14" s="6">
        <v>376649638.81999999</v>
      </c>
      <c r="H14" s="6">
        <v>391728.68</v>
      </c>
      <c r="I14" s="6">
        <v>274210.42</v>
      </c>
      <c r="J14" s="6">
        <f t="shared" si="0"/>
        <v>117518.26000000001</v>
      </c>
      <c r="K14" s="3">
        <v>0.1</v>
      </c>
    </row>
    <row r="15" spans="1:11" s="3" customFormat="1" ht="15" customHeight="1" x14ac:dyDescent="0.25">
      <c r="A15" s="3" t="s">
        <v>16</v>
      </c>
      <c r="B15" s="3" t="s">
        <v>42</v>
      </c>
      <c r="C15" s="3" t="s">
        <v>43</v>
      </c>
      <c r="D15" s="3" t="s">
        <v>44</v>
      </c>
      <c r="E15" s="3" t="s">
        <v>19</v>
      </c>
      <c r="F15" s="3" t="s">
        <v>20</v>
      </c>
      <c r="G15" s="6">
        <v>158737790.09999999</v>
      </c>
      <c r="H15" s="6">
        <v>310670.5</v>
      </c>
      <c r="I15" s="6">
        <v>217738.51</v>
      </c>
      <c r="J15" s="6">
        <f t="shared" si="0"/>
        <v>92931.989999999991</v>
      </c>
      <c r="K15" s="3">
        <v>0.19</v>
      </c>
    </row>
    <row r="16" spans="1:11" s="3" customFormat="1" ht="15" customHeight="1" x14ac:dyDescent="0.25">
      <c r="A16" s="3" t="s">
        <v>16</v>
      </c>
      <c r="B16" s="3" t="s">
        <v>45</v>
      </c>
      <c r="C16" s="3" t="s">
        <v>46</v>
      </c>
      <c r="D16" s="3" t="s">
        <v>47</v>
      </c>
      <c r="E16" s="3" t="s">
        <v>19</v>
      </c>
      <c r="F16" s="3" t="s">
        <v>20</v>
      </c>
      <c r="G16" s="6">
        <v>55076034.619999997</v>
      </c>
      <c r="H16" s="6">
        <v>113924.61</v>
      </c>
      <c r="I16" s="6">
        <v>56962.559999999998</v>
      </c>
      <c r="J16" s="6">
        <f t="shared" si="0"/>
        <v>56962.05</v>
      </c>
      <c r="K16" s="3">
        <v>0.2</v>
      </c>
    </row>
    <row r="17" spans="1:11" s="3" customFormat="1" ht="15" customHeight="1" x14ac:dyDescent="0.25">
      <c r="A17" s="3" t="s">
        <v>16</v>
      </c>
      <c r="B17" s="3" t="s">
        <v>48</v>
      </c>
      <c r="C17" s="3" t="s">
        <v>49</v>
      </c>
      <c r="D17" s="3" t="s">
        <v>50</v>
      </c>
      <c r="E17" s="3" t="s">
        <v>19</v>
      </c>
      <c r="F17" s="3" t="s">
        <v>20</v>
      </c>
      <c r="G17" s="6">
        <v>43034210.07</v>
      </c>
      <c r="H17" s="6">
        <v>61854.81</v>
      </c>
      <c r="I17" s="6">
        <v>21057.67</v>
      </c>
      <c r="J17" s="6">
        <f t="shared" si="0"/>
        <v>40797.14</v>
      </c>
      <c r="K17" s="3">
        <v>0.14000000000000001</v>
      </c>
    </row>
    <row r="18" spans="1:11" s="3" customFormat="1" ht="15" customHeight="1" x14ac:dyDescent="0.25">
      <c r="A18" s="3" t="s">
        <v>16</v>
      </c>
      <c r="B18" s="3" t="s">
        <v>51</v>
      </c>
      <c r="C18" s="3" t="s">
        <v>52</v>
      </c>
      <c r="D18" s="3" t="s">
        <v>53</v>
      </c>
      <c r="E18" s="3" t="s">
        <v>54</v>
      </c>
      <c r="F18" s="3" t="s">
        <v>6</v>
      </c>
      <c r="G18" s="6">
        <v>15765575.529999999</v>
      </c>
      <c r="H18" s="6">
        <v>24384.720000000001</v>
      </c>
      <c r="I18" s="6">
        <v>12700.25</v>
      </c>
      <c r="J18" s="6">
        <f t="shared" si="0"/>
        <v>11684.470000000001</v>
      </c>
      <c r="K18" s="3">
        <v>0.15</v>
      </c>
    </row>
    <row r="19" spans="1:11" s="3" customFormat="1" ht="15" customHeight="1" x14ac:dyDescent="0.25">
      <c r="A19" s="3" t="s">
        <v>16</v>
      </c>
      <c r="B19" s="3" t="s">
        <v>55</v>
      </c>
      <c r="C19" s="3" t="s">
        <v>56</v>
      </c>
      <c r="D19" s="3" t="s">
        <v>57</v>
      </c>
      <c r="E19" s="3" t="s">
        <v>58</v>
      </c>
      <c r="F19" s="3" t="s">
        <v>20</v>
      </c>
      <c r="G19" s="6">
        <v>13217755.84</v>
      </c>
      <c r="H19" s="6">
        <v>54891.6</v>
      </c>
      <c r="I19" s="6">
        <v>35676.35</v>
      </c>
      <c r="J19" s="6">
        <f t="shared" si="0"/>
        <v>19215.25</v>
      </c>
      <c r="K19" s="3">
        <v>0.41</v>
      </c>
    </row>
    <row r="20" spans="1:11" s="3" customFormat="1" ht="15" customHeight="1" x14ac:dyDescent="0.25">
      <c r="A20" s="3" t="s">
        <v>16</v>
      </c>
      <c r="B20" s="3" t="s">
        <v>59</v>
      </c>
      <c r="C20" s="3" t="s">
        <v>60</v>
      </c>
      <c r="D20" s="3" t="s">
        <v>61</v>
      </c>
      <c r="E20" s="3" t="s">
        <v>19</v>
      </c>
      <c r="F20" s="3" t="s">
        <v>20</v>
      </c>
      <c r="G20" s="6">
        <v>10511567.439999999</v>
      </c>
      <c r="H20" s="6">
        <v>14998.41</v>
      </c>
      <c r="I20" s="6">
        <v>4940.05</v>
      </c>
      <c r="J20" s="6">
        <f t="shared" si="0"/>
        <v>10058.36</v>
      </c>
      <c r="K20" s="3">
        <v>0.14000000000000001</v>
      </c>
    </row>
    <row r="21" spans="1:11" s="3" customFormat="1" ht="15" customHeight="1" x14ac:dyDescent="0.25">
      <c r="A21" s="3" t="s">
        <v>16</v>
      </c>
      <c r="B21" s="3" t="s">
        <v>62</v>
      </c>
      <c r="C21" s="3" t="s">
        <v>63</v>
      </c>
      <c r="D21" s="3" t="s">
        <v>64</v>
      </c>
      <c r="E21" s="3" t="s">
        <v>19</v>
      </c>
      <c r="F21" s="3" t="s">
        <v>20</v>
      </c>
      <c r="G21" s="6">
        <v>7362239.6799999997</v>
      </c>
      <c r="H21" s="6">
        <v>27917.279999999999</v>
      </c>
      <c r="I21" s="6">
        <v>16324.94</v>
      </c>
      <c r="J21" s="6">
        <f t="shared" si="0"/>
        <v>11592.339999999998</v>
      </c>
      <c r="K21" s="3">
        <v>0.37</v>
      </c>
    </row>
    <row r="22" spans="1:11" s="3" customFormat="1" ht="15" customHeight="1" x14ac:dyDescent="0.25">
      <c r="A22" s="3" t="s">
        <v>16</v>
      </c>
      <c r="B22" s="3" t="s">
        <v>65</v>
      </c>
      <c r="C22" s="3" t="s">
        <v>66</v>
      </c>
      <c r="D22" s="3" t="s">
        <v>67</v>
      </c>
      <c r="E22" s="3" t="s">
        <v>19</v>
      </c>
      <c r="F22" s="3" t="s">
        <v>20</v>
      </c>
      <c r="G22" s="6">
        <v>96959.89</v>
      </c>
      <c r="H22" s="6">
        <v>484.8</v>
      </c>
      <c r="I22" s="6">
        <v>329.67</v>
      </c>
      <c r="J22" s="6">
        <f t="shared" si="0"/>
        <v>155.13</v>
      </c>
      <c r="K22" s="3">
        <v>0.5</v>
      </c>
    </row>
    <row r="23" spans="1:11" s="3" customFormat="1" ht="15" customHeight="1" x14ac:dyDescent="0.25">
      <c r="A23" s="3" t="s">
        <v>68</v>
      </c>
      <c r="B23" s="3" t="s">
        <v>69</v>
      </c>
      <c r="C23" s="3" t="s">
        <v>68</v>
      </c>
      <c r="D23" s="3" t="s">
        <v>70</v>
      </c>
      <c r="E23" s="3" t="s">
        <v>71</v>
      </c>
      <c r="F23" s="3" t="s">
        <v>72</v>
      </c>
      <c r="G23" s="6">
        <v>810830390.08000004</v>
      </c>
      <c r="H23" s="6">
        <v>1162962.3700000001</v>
      </c>
      <c r="I23" s="6">
        <v>56151.71</v>
      </c>
      <c r="J23" s="6">
        <f t="shared" si="0"/>
        <v>1106810.6600000001</v>
      </c>
      <c r="K23" s="3">
        <v>0.14000000000000001</v>
      </c>
    </row>
    <row r="24" spans="1:11" s="3" customFormat="1" ht="15" customHeight="1" x14ac:dyDescent="0.25">
      <c r="A24" s="3" t="s">
        <v>73</v>
      </c>
      <c r="B24" s="3" t="s">
        <v>74</v>
      </c>
      <c r="C24" s="3" t="s">
        <v>73</v>
      </c>
      <c r="D24" s="3" t="s">
        <v>75</v>
      </c>
      <c r="E24" s="3" t="s">
        <v>76</v>
      </c>
      <c r="F24" s="3" t="s">
        <v>6</v>
      </c>
      <c r="G24" s="6">
        <v>853833927.90999997</v>
      </c>
      <c r="H24" s="6">
        <v>2272481.19</v>
      </c>
      <c r="I24" s="6">
        <v>0</v>
      </c>
      <c r="J24" s="6">
        <f t="shared" si="0"/>
        <v>2272481.19</v>
      </c>
      <c r="K24" s="3">
        <v>0.26</v>
      </c>
    </row>
    <row r="25" spans="1:11" s="3" customFormat="1" ht="15" customHeight="1" x14ac:dyDescent="0.25">
      <c r="A25" s="3" t="s">
        <v>73</v>
      </c>
      <c r="B25" s="3" t="s">
        <v>77</v>
      </c>
      <c r="C25" s="3" t="s">
        <v>78</v>
      </c>
      <c r="D25" s="3" t="s">
        <v>79</v>
      </c>
      <c r="E25" s="3" t="s">
        <v>76</v>
      </c>
      <c r="F25" s="3" t="s">
        <v>6</v>
      </c>
      <c r="G25" s="6">
        <v>243036940.24000001</v>
      </c>
      <c r="H25" s="6">
        <v>304084</v>
      </c>
      <c r="I25" s="6">
        <v>235161.58</v>
      </c>
      <c r="J25" s="6">
        <f t="shared" si="0"/>
        <v>68922.420000000013</v>
      </c>
      <c r="K25" s="3">
        <v>0.12</v>
      </c>
    </row>
    <row r="26" spans="1:11" s="3" customFormat="1" ht="15" customHeight="1" x14ac:dyDescent="0.25">
      <c r="A26" s="3" t="s">
        <v>73</v>
      </c>
      <c r="B26" s="3" t="s">
        <v>80</v>
      </c>
      <c r="C26" s="3" t="s">
        <v>81</v>
      </c>
      <c r="D26" s="3" t="s">
        <v>82</v>
      </c>
      <c r="E26" s="3" t="s">
        <v>76</v>
      </c>
      <c r="F26" s="3" t="s">
        <v>6</v>
      </c>
      <c r="G26" s="6">
        <v>183960512.84999999</v>
      </c>
      <c r="H26" s="6">
        <v>286567.75</v>
      </c>
      <c r="I26" s="6">
        <v>189585.53</v>
      </c>
      <c r="J26" s="6">
        <f t="shared" si="0"/>
        <v>96982.22</v>
      </c>
      <c r="K26" s="3">
        <v>0.15</v>
      </c>
    </row>
    <row r="27" spans="1:11" s="3" customFormat="1" ht="15" customHeight="1" x14ac:dyDescent="0.25">
      <c r="A27" s="3" t="s">
        <v>73</v>
      </c>
      <c r="B27" s="3" t="s">
        <v>83</v>
      </c>
      <c r="C27" s="3" t="s">
        <v>84</v>
      </c>
      <c r="D27" s="3" t="s">
        <v>85</v>
      </c>
      <c r="E27" s="3" t="s">
        <v>76</v>
      </c>
      <c r="F27" s="3" t="s">
        <v>6</v>
      </c>
      <c r="G27" s="6">
        <v>17343340.859999999</v>
      </c>
      <c r="H27" s="6">
        <v>50469.32</v>
      </c>
      <c r="I27" s="6">
        <v>31716.69</v>
      </c>
      <c r="J27" s="6">
        <f t="shared" si="0"/>
        <v>18752.63</v>
      </c>
      <c r="K27" s="3">
        <v>0.28999999999999998</v>
      </c>
    </row>
    <row r="28" spans="1:11" s="3" customFormat="1" ht="15" customHeight="1" x14ac:dyDescent="0.25">
      <c r="A28" s="3" t="s">
        <v>86</v>
      </c>
      <c r="B28" s="3" t="s">
        <v>87</v>
      </c>
      <c r="C28" s="3" t="s">
        <v>88</v>
      </c>
      <c r="D28" s="3" t="s">
        <v>89</v>
      </c>
      <c r="E28" s="3" t="s">
        <v>76</v>
      </c>
      <c r="F28" s="3" t="s">
        <v>6</v>
      </c>
      <c r="G28" s="6">
        <v>13079827336.42</v>
      </c>
      <c r="H28" s="6">
        <v>1588329.27</v>
      </c>
      <c r="I28" s="6">
        <v>85917.75</v>
      </c>
      <c r="J28" s="6">
        <f t="shared" si="0"/>
        <v>1502411.52</v>
      </c>
      <c r="K28" s="3">
        <v>0.01</v>
      </c>
    </row>
    <row r="29" spans="1:11" s="3" customFormat="1" ht="15" customHeight="1" x14ac:dyDescent="0.25">
      <c r="A29" s="3" t="s">
        <v>86</v>
      </c>
      <c r="B29" s="3" t="s">
        <v>90</v>
      </c>
      <c r="C29" s="3" t="s">
        <v>86</v>
      </c>
      <c r="D29" s="3" t="s">
        <v>91</v>
      </c>
      <c r="E29" s="3" t="s">
        <v>76</v>
      </c>
      <c r="F29" s="3" t="s">
        <v>6</v>
      </c>
      <c r="G29" s="6">
        <v>11872661405.73</v>
      </c>
      <c r="H29" s="6">
        <v>7574148.1100000003</v>
      </c>
      <c r="I29" s="6">
        <v>1013.15</v>
      </c>
      <c r="J29" s="6">
        <f t="shared" si="0"/>
        <v>7573134.96</v>
      </c>
      <c r="K29" s="3">
        <v>0.06</v>
      </c>
    </row>
    <row r="30" spans="1:11" s="3" customFormat="1" ht="15" customHeight="1" x14ac:dyDescent="0.25">
      <c r="A30" s="3" t="s">
        <v>86</v>
      </c>
      <c r="B30" s="3" t="s">
        <v>92</v>
      </c>
      <c r="C30" s="3" t="s">
        <v>93</v>
      </c>
      <c r="D30" s="3" t="s">
        <v>94</v>
      </c>
      <c r="E30" s="3" t="s">
        <v>76</v>
      </c>
      <c r="F30" s="3" t="s">
        <v>6</v>
      </c>
      <c r="G30" s="6">
        <v>9631443842</v>
      </c>
      <c r="H30" s="6">
        <v>1897978.16</v>
      </c>
      <c r="I30" s="6">
        <v>811735.45</v>
      </c>
      <c r="J30" s="6">
        <f t="shared" si="0"/>
        <v>1086242.71</v>
      </c>
      <c r="K30" s="3">
        <v>0.01</v>
      </c>
    </row>
    <row r="31" spans="1:11" s="3" customFormat="1" ht="15" customHeight="1" x14ac:dyDescent="0.25">
      <c r="A31" s="3" t="s">
        <v>86</v>
      </c>
      <c r="B31" s="3" t="s">
        <v>95</v>
      </c>
      <c r="C31" s="3" t="s">
        <v>96</v>
      </c>
      <c r="D31" s="3" t="s">
        <v>97</v>
      </c>
      <c r="E31" s="3" t="s">
        <v>98</v>
      </c>
      <c r="F31" s="3" t="s">
        <v>6</v>
      </c>
      <c r="G31" s="6">
        <v>4953037992</v>
      </c>
      <c r="H31" s="6">
        <v>541080.76</v>
      </c>
      <c r="I31" s="6">
        <v>0</v>
      </c>
      <c r="J31" s="6">
        <f t="shared" si="0"/>
        <v>541080.76</v>
      </c>
      <c r="K31" s="3">
        <v>0.01</v>
      </c>
    </row>
    <row r="32" spans="1:11" s="3" customFormat="1" ht="15" customHeight="1" x14ac:dyDescent="0.25">
      <c r="A32" s="3" t="s">
        <v>86</v>
      </c>
      <c r="B32" s="3" t="s">
        <v>99</v>
      </c>
      <c r="C32" s="3" t="s">
        <v>100</v>
      </c>
      <c r="D32" s="3" t="s">
        <v>101</v>
      </c>
      <c r="E32" s="3" t="s">
        <v>76</v>
      </c>
      <c r="F32" s="3" t="s">
        <v>6</v>
      </c>
      <c r="G32" s="6">
        <v>3313768720.4699998</v>
      </c>
      <c r="H32" s="6">
        <v>852440.78</v>
      </c>
      <c r="I32" s="6">
        <v>611016.47</v>
      </c>
      <c r="J32" s="6">
        <f t="shared" si="0"/>
        <v>241424.31000000006</v>
      </c>
      <c r="K32" s="3">
        <v>0.02</v>
      </c>
    </row>
    <row r="33" spans="1:11" s="3" customFormat="1" ht="15" customHeight="1" x14ac:dyDescent="0.25">
      <c r="A33" s="3" t="s">
        <v>86</v>
      </c>
      <c r="B33" s="3" t="s">
        <v>17</v>
      </c>
      <c r="C33" s="3" t="s">
        <v>102</v>
      </c>
      <c r="D33" s="3" t="s">
        <v>103</v>
      </c>
      <c r="E33" s="3" t="s">
        <v>76</v>
      </c>
      <c r="F33" s="3" t="s">
        <v>6</v>
      </c>
      <c r="G33" s="6">
        <v>2727796652.3200002</v>
      </c>
      <c r="H33" s="6">
        <v>4909420.76</v>
      </c>
      <c r="I33" s="6">
        <v>3879922.11</v>
      </c>
      <c r="J33" s="6">
        <f t="shared" si="0"/>
        <v>1029498.6499999999</v>
      </c>
      <c r="K33" s="3">
        <v>0.17</v>
      </c>
    </row>
    <row r="34" spans="1:11" s="3" customFormat="1" ht="15" customHeight="1" x14ac:dyDescent="0.25">
      <c r="A34" s="3" t="s">
        <v>86</v>
      </c>
      <c r="B34" s="3" t="s">
        <v>104</v>
      </c>
      <c r="C34" s="3" t="s">
        <v>105</v>
      </c>
      <c r="D34" s="3" t="s">
        <v>106</v>
      </c>
      <c r="E34" s="3" t="s">
        <v>107</v>
      </c>
      <c r="F34" s="3" t="s">
        <v>6</v>
      </c>
      <c r="G34" s="6">
        <v>1921193139.8900001</v>
      </c>
      <c r="H34" s="6">
        <v>1520205.73</v>
      </c>
      <c r="I34" s="6">
        <v>988158.66</v>
      </c>
      <c r="J34" s="6">
        <f t="shared" si="0"/>
        <v>532047.06999999995</v>
      </c>
      <c r="K34" s="3">
        <v>7.0000000000000007E-2</v>
      </c>
    </row>
    <row r="35" spans="1:11" s="3" customFormat="1" ht="15" customHeight="1" x14ac:dyDescent="0.25">
      <c r="A35" s="3" t="s">
        <v>86</v>
      </c>
      <c r="B35" s="3" t="s">
        <v>108</v>
      </c>
      <c r="C35" s="3" t="s">
        <v>109</v>
      </c>
      <c r="D35" s="3" t="s">
        <v>110</v>
      </c>
      <c r="E35" s="3" t="s">
        <v>76</v>
      </c>
      <c r="F35" s="3" t="s">
        <v>6</v>
      </c>
      <c r="G35" s="6">
        <v>1554915619.3800001</v>
      </c>
      <c r="H35" s="6">
        <v>294748.40000000002</v>
      </c>
      <c r="I35" s="6">
        <v>-0.01</v>
      </c>
      <c r="J35" s="6">
        <f t="shared" si="0"/>
        <v>294748.41000000003</v>
      </c>
      <c r="K35" s="3">
        <v>0.01</v>
      </c>
    </row>
    <row r="36" spans="1:11" s="3" customFormat="1" ht="15" customHeight="1" x14ac:dyDescent="0.25">
      <c r="A36" s="3" t="s">
        <v>86</v>
      </c>
      <c r="B36" s="3" t="s">
        <v>111</v>
      </c>
      <c r="C36" s="3" t="s">
        <v>112</v>
      </c>
      <c r="D36" s="3" t="s">
        <v>113</v>
      </c>
      <c r="E36" s="3" t="s">
        <v>76</v>
      </c>
      <c r="F36" s="3" t="s">
        <v>6</v>
      </c>
      <c r="G36" s="6">
        <v>1493985865.9400001</v>
      </c>
      <c r="H36" s="6">
        <v>1918837.78</v>
      </c>
      <c r="I36" s="6">
        <v>1355455.41</v>
      </c>
      <c r="J36" s="6">
        <f t="shared" si="0"/>
        <v>563382.37000000011</v>
      </c>
      <c r="K36" s="3">
        <v>0.12</v>
      </c>
    </row>
    <row r="37" spans="1:11" s="3" customFormat="1" ht="15" customHeight="1" x14ac:dyDescent="0.25">
      <c r="A37" s="3" t="s">
        <v>86</v>
      </c>
      <c r="B37" s="3" t="s">
        <v>114</v>
      </c>
      <c r="C37" s="3" t="s">
        <v>115</v>
      </c>
      <c r="D37" s="3" t="s">
        <v>116</v>
      </c>
      <c r="E37" s="3" t="s">
        <v>76</v>
      </c>
      <c r="F37" s="3" t="s">
        <v>6</v>
      </c>
      <c r="G37" s="6">
        <v>1313526592.54</v>
      </c>
      <c r="H37" s="6">
        <v>1784505.95</v>
      </c>
      <c r="I37" s="6">
        <v>1249158.69</v>
      </c>
      <c r="J37" s="6">
        <f t="shared" si="0"/>
        <v>535347.26</v>
      </c>
      <c r="K37" s="3">
        <v>0.13</v>
      </c>
    </row>
    <row r="38" spans="1:11" s="3" customFormat="1" ht="15" customHeight="1" x14ac:dyDescent="0.25">
      <c r="A38" s="3" t="s">
        <v>86</v>
      </c>
      <c r="B38" s="3" t="s">
        <v>117</v>
      </c>
      <c r="C38" s="3" t="s">
        <v>118</v>
      </c>
      <c r="D38" s="3" t="s">
        <v>119</v>
      </c>
      <c r="E38" s="3" t="s">
        <v>76</v>
      </c>
      <c r="F38" s="3" t="s">
        <v>6</v>
      </c>
      <c r="G38" s="6">
        <v>922535131.25</v>
      </c>
      <c r="H38" s="6">
        <v>1651078.96</v>
      </c>
      <c r="I38" s="6">
        <v>0</v>
      </c>
      <c r="J38" s="6">
        <f t="shared" si="0"/>
        <v>1651078.96</v>
      </c>
      <c r="K38" s="3">
        <v>0.17</v>
      </c>
    </row>
    <row r="39" spans="1:11" s="3" customFormat="1" ht="15" customHeight="1" x14ac:dyDescent="0.25">
      <c r="A39" s="3" t="s">
        <v>86</v>
      </c>
      <c r="B39" s="3" t="s">
        <v>120</v>
      </c>
      <c r="C39" s="3" t="s">
        <v>121</v>
      </c>
      <c r="D39" s="3" t="s">
        <v>122</v>
      </c>
      <c r="E39" s="3" t="s">
        <v>76</v>
      </c>
      <c r="F39" s="3" t="s">
        <v>6</v>
      </c>
      <c r="G39" s="6">
        <v>672674220.29999995</v>
      </c>
      <c r="H39" s="6">
        <v>655455.18000000005</v>
      </c>
      <c r="I39" s="6">
        <v>446053.31</v>
      </c>
      <c r="J39" s="6">
        <f t="shared" si="0"/>
        <v>209401.87000000005</v>
      </c>
      <c r="K39" s="3">
        <v>0.09</v>
      </c>
    </row>
    <row r="40" spans="1:11" s="3" customFormat="1" ht="15" customHeight="1" x14ac:dyDescent="0.25">
      <c r="A40" s="3" t="s">
        <v>86</v>
      </c>
      <c r="B40" s="3" t="s">
        <v>123</v>
      </c>
      <c r="C40" s="3" t="s">
        <v>124</v>
      </c>
      <c r="D40" s="3" t="s">
        <v>125</v>
      </c>
      <c r="E40" s="3" t="s">
        <v>76</v>
      </c>
      <c r="F40" s="3" t="s">
        <v>6</v>
      </c>
      <c r="G40" s="6">
        <v>665902902.38</v>
      </c>
      <c r="H40" s="6">
        <v>230108.79</v>
      </c>
      <c r="I40" s="6">
        <v>1554.57</v>
      </c>
      <c r="J40" s="6">
        <f t="shared" si="0"/>
        <v>228554.22</v>
      </c>
      <c r="K40" s="3">
        <v>0.03</v>
      </c>
    </row>
    <row r="41" spans="1:11" s="3" customFormat="1" ht="15" customHeight="1" x14ac:dyDescent="0.25">
      <c r="A41" s="3" t="s">
        <v>86</v>
      </c>
      <c r="B41" s="3" t="s">
        <v>126</v>
      </c>
      <c r="C41" s="3" t="s">
        <v>127</v>
      </c>
      <c r="D41" s="3" t="s">
        <v>128</v>
      </c>
      <c r="E41" s="3" t="s">
        <v>129</v>
      </c>
      <c r="F41" s="3" t="s">
        <v>6</v>
      </c>
      <c r="G41" s="6">
        <v>465356934.81999999</v>
      </c>
      <c r="H41" s="6">
        <v>811800.95</v>
      </c>
      <c r="I41" s="6">
        <v>616141.5</v>
      </c>
      <c r="J41" s="6">
        <f t="shared" si="0"/>
        <v>195659.44999999995</v>
      </c>
      <c r="K41" s="3">
        <v>0.17</v>
      </c>
    </row>
    <row r="42" spans="1:11" s="3" customFormat="1" ht="15" customHeight="1" x14ac:dyDescent="0.25">
      <c r="A42" s="3" t="s">
        <v>86</v>
      </c>
      <c r="B42" s="3" t="s">
        <v>130</v>
      </c>
      <c r="C42" s="3" t="s">
        <v>131</v>
      </c>
      <c r="D42" s="3" t="s">
        <v>132</v>
      </c>
      <c r="E42" s="3" t="s">
        <v>76</v>
      </c>
      <c r="F42" s="3" t="s">
        <v>6</v>
      </c>
      <c r="G42" s="6">
        <v>403498832.35000002</v>
      </c>
      <c r="H42" s="6">
        <v>972764.95</v>
      </c>
      <c r="I42" s="6">
        <v>643121.26</v>
      </c>
      <c r="J42" s="6">
        <f t="shared" si="0"/>
        <v>329643.68999999994</v>
      </c>
      <c r="K42" s="3">
        <v>0.24</v>
      </c>
    </row>
    <row r="43" spans="1:11" s="3" customFormat="1" ht="15" customHeight="1" x14ac:dyDescent="0.25">
      <c r="A43" s="3" t="s">
        <v>86</v>
      </c>
      <c r="B43" s="3" t="s">
        <v>133</v>
      </c>
      <c r="C43" s="3" t="s">
        <v>134</v>
      </c>
      <c r="D43" s="3" t="s">
        <v>135</v>
      </c>
      <c r="E43" s="3" t="s">
        <v>76</v>
      </c>
      <c r="F43" s="3" t="s">
        <v>6</v>
      </c>
      <c r="G43" s="6">
        <v>393538527.95999998</v>
      </c>
      <c r="H43" s="6">
        <v>600307.85</v>
      </c>
      <c r="I43" s="6">
        <v>360422.89</v>
      </c>
      <c r="J43" s="6">
        <f t="shared" si="0"/>
        <v>239884.95999999996</v>
      </c>
      <c r="K43" s="3">
        <v>0.15</v>
      </c>
    </row>
    <row r="44" spans="1:11" s="3" customFormat="1" ht="15" customHeight="1" x14ac:dyDescent="0.25">
      <c r="A44" s="3" t="s">
        <v>86</v>
      </c>
      <c r="B44" s="3" t="s">
        <v>136</v>
      </c>
      <c r="C44" s="3" t="s">
        <v>137</v>
      </c>
      <c r="D44" s="3" t="s">
        <v>138</v>
      </c>
      <c r="E44" s="3" t="s">
        <v>76</v>
      </c>
      <c r="F44" s="3" t="s">
        <v>6</v>
      </c>
      <c r="G44" s="6">
        <v>332908355.02999997</v>
      </c>
      <c r="H44" s="6">
        <v>147621.29999999999</v>
      </c>
      <c r="I44" s="6">
        <v>94569.04</v>
      </c>
      <c r="J44" s="6">
        <f t="shared" si="0"/>
        <v>53052.259999999995</v>
      </c>
      <c r="K44" s="3">
        <v>0.04</v>
      </c>
    </row>
    <row r="45" spans="1:11" s="3" customFormat="1" ht="15" customHeight="1" x14ac:dyDescent="0.25">
      <c r="A45" s="3" t="s">
        <v>86</v>
      </c>
      <c r="B45" s="3" t="s">
        <v>139</v>
      </c>
      <c r="C45" s="3" t="s">
        <v>140</v>
      </c>
      <c r="D45" s="3" t="s">
        <v>141</v>
      </c>
      <c r="E45" s="3" t="s">
        <v>76</v>
      </c>
      <c r="F45" s="3" t="s">
        <v>6</v>
      </c>
      <c r="G45" s="6">
        <v>247357537.61000001</v>
      </c>
      <c r="H45" s="6">
        <v>207272.26</v>
      </c>
      <c r="I45" s="6">
        <v>132003.79999999999</v>
      </c>
      <c r="J45" s="6">
        <f t="shared" si="0"/>
        <v>75268.460000000021</v>
      </c>
      <c r="K45" s="3">
        <v>0.08</v>
      </c>
    </row>
    <row r="46" spans="1:11" s="3" customFormat="1" ht="15" customHeight="1" x14ac:dyDescent="0.25">
      <c r="A46" s="3" t="s">
        <v>86</v>
      </c>
      <c r="B46" s="3" t="s">
        <v>142</v>
      </c>
      <c r="C46" s="3" t="s">
        <v>143</v>
      </c>
      <c r="D46" s="3" t="s">
        <v>144</v>
      </c>
      <c r="E46" s="3" t="s">
        <v>76</v>
      </c>
      <c r="F46" s="3" t="s">
        <v>6</v>
      </c>
      <c r="G46" s="6">
        <v>197229963.71000001</v>
      </c>
      <c r="H46" s="6">
        <v>175928.01</v>
      </c>
      <c r="I46" s="6">
        <v>112493.67</v>
      </c>
      <c r="J46" s="6">
        <f t="shared" si="0"/>
        <v>63434.340000000011</v>
      </c>
      <c r="K46" s="3">
        <v>0.08</v>
      </c>
    </row>
    <row r="47" spans="1:11" s="3" customFormat="1" ht="15" customHeight="1" x14ac:dyDescent="0.25">
      <c r="A47" s="3" t="s">
        <v>86</v>
      </c>
      <c r="B47" s="3" t="s">
        <v>145</v>
      </c>
      <c r="C47" s="3" t="s">
        <v>146</v>
      </c>
      <c r="D47" s="3" t="s">
        <v>147</v>
      </c>
      <c r="E47" s="3" t="s">
        <v>148</v>
      </c>
      <c r="F47" s="3" t="s">
        <v>6</v>
      </c>
      <c r="G47" s="6">
        <v>139693570.44999999</v>
      </c>
      <c r="H47" s="6">
        <v>1174350.57</v>
      </c>
      <c r="I47" s="6">
        <v>597877.87</v>
      </c>
      <c r="J47" s="6">
        <f t="shared" si="0"/>
        <v>576472.70000000007</v>
      </c>
      <c r="K47" s="3">
        <v>0.84</v>
      </c>
    </row>
    <row r="48" spans="1:11" s="3" customFormat="1" ht="15" customHeight="1" x14ac:dyDescent="0.25">
      <c r="A48" s="3" t="s">
        <v>86</v>
      </c>
      <c r="B48" s="3" t="s">
        <v>149</v>
      </c>
      <c r="C48" s="3" t="s">
        <v>150</v>
      </c>
      <c r="D48" s="3" t="s">
        <v>151</v>
      </c>
      <c r="E48" s="3" t="s">
        <v>76</v>
      </c>
      <c r="F48" s="3" t="s">
        <v>6</v>
      </c>
      <c r="G48" s="6">
        <v>106475547.42</v>
      </c>
      <c r="H48" s="6">
        <v>242744.39</v>
      </c>
      <c r="I48" s="6">
        <v>146821.57999999999</v>
      </c>
      <c r="J48" s="6">
        <f t="shared" si="0"/>
        <v>95922.810000000027</v>
      </c>
      <c r="K48" s="3">
        <v>0.22</v>
      </c>
    </row>
    <row r="49" spans="1:11" s="3" customFormat="1" ht="15" customHeight="1" x14ac:dyDescent="0.25">
      <c r="A49" s="3" t="s">
        <v>86</v>
      </c>
      <c r="B49" s="3" t="s">
        <v>152</v>
      </c>
      <c r="C49" s="3" t="s">
        <v>153</v>
      </c>
      <c r="D49" s="3" t="s">
        <v>154</v>
      </c>
      <c r="E49" s="3" t="s">
        <v>76</v>
      </c>
      <c r="F49" s="3" t="s">
        <v>6</v>
      </c>
      <c r="G49" s="6">
        <v>66992703.490000002</v>
      </c>
      <c r="H49" s="6">
        <v>159878.91</v>
      </c>
      <c r="I49" s="6">
        <v>105107.62</v>
      </c>
      <c r="J49" s="6">
        <f t="shared" si="0"/>
        <v>54771.290000000008</v>
      </c>
      <c r="K49" s="3">
        <v>0.23</v>
      </c>
    </row>
    <row r="50" spans="1:11" s="3" customFormat="1" ht="15" customHeight="1" x14ac:dyDescent="0.25">
      <c r="A50" s="3" t="s">
        <v>86</v>
      </c>
      <c r="B50" s="3" t="s">
        <v>155</v>
      </c>
      <c r="C50" s="3" t="s">
        <v>156</v>
      </c>
      <c r="D50" s="3" t="s">
        <v>157</v>
      </c>
      <c r="E50" s="3" t="s">
        <v>76</v>
      </c>
      <c r="F50" s="3" t="s">
        <v>6</v>
      </c>
      <c r="G50" s="6">
        <v>57622494.240000002</v>
      </c>
      <c r="H50" s="6">
        <v>148750.07999999999</v>
      </c>
      <c r="I50" s="6">
        <v>100850.71</v>
      </c>
      <c r="J50" s="6">
        <f t="shared" si="0"/>
        <v>47899.369999999981</v>
      </c>
      <c r="K50" s="3">
        <v>0.25</v>
      </c>
    </row>
    <row r="51" spans="1:11" s="3" customFormat="1" ht="15" customHeight="1" x14ac:dyDescent="0.25">
      <c r="A51" s="3" t="s">
        <v>86</v>
      </c>
      <c r="B51" s="3" t="s">
        <v>158</v>
      </c>
      <c r="C51" s="3" t="s">
        <v>159</v>
      </c>
      <c r="D51" s="3" t="s">
        <v>160</v>
      </c>
      <c r="E51" s="3" t="s">
        <v>161</v>
      </c>
      <c r="F51" s="3" t="s">
        <v>6</v>
      </c>
      <c r="G51" s="6">
        <v>52648368.659999996</v>
      </c>
      <c r="H51" s="6">
        <v>421615.08</v>
      </c>
      <c r="I51" s="6">
        <v>316008.26</v>
      </c>
      <c r="J51" s="6">
        <f t="shared" si="0"/>
        <v>105606.82</v>
      </c>
      <c r="K51" s="3">
        <v>0.8</v>
      </c>
    </row>
    <row r="52" spans="1:11" s="3" customFormat="1" ht="15" customHeight="1" x14ac:dyDescent="0.25">
      <c r="A52" s="3" t="s">
        <v>86</v>
      </c>
      <c r="B52" s="3" t="s">
        <v>162</v>
      </c>
      <c r="C52" s="3" t="s">
        <v>163</v>
      </c>
      <c r="D52" s="3" t="s">
        <v>164</v>
      </c>
      <c r="E52" s="3" t="s">
        <v>76</v>
      </c>
      <c r="F52" s="3" t="s">
        <v>6</v>
      </c>
      <c r="G52" s="6">
        <v>51936448.710000001</v>
      </c>
      <c r="H52" s="6">
        <v>122771.42</v>
      </c>
      <c r="I52" s="6">
        <v>81519.960000000006</v>
      </c>
      <c r="J52" s="6">
        <f t="shared" si="0"/>
        <v>41251.459999999992</v>
      </c>
      <c r="K52" s="3">
        <v>0.23</v>
      </c>
    </row>
    <row r="53" spans="1:11" s="3" customFormat="1" ht="15" customHeight="1" x14ac:dyDescent="0.25">
      <c r="A53" s="3" t="s">
        <v>86</v>
      </c>
      <c r="B53" s="3" t="s">
        <v>165</v>
      </c>
      <c r="C53" s="3" t="s">
        <v>166</v>
      </c>
      <c r="D53" s="3" t="s">
        <v>167</v>
      </c>
      <c r="E53" s="3" t="s">
        <v>76</v>
      </c>
      <c r="F53" s="3" t="s">
        <v>6</v>
      </c>
      <c r="G53" s="6">
        <v>43612530.509999998</v>
      </c>
      <c r="H53" s="6">
        <v>33126.94</v>
      </c>
      <c r="I53" s="6">
        <v>17609.61</v>
      </c>
      <c r="J53" s="6">
        <f t="shared" si="0"/>
        <v>15517.330000000002</v>
      </c>
      <c r="K53" s="3">
        <v>7.0000000000000007E-2</v>
      </c>
    </row>
    <row r="54" spans="1:11" s="3" customFormat="1" ht="15" customHeight="1" x14ac:dyDescent="0.25">
      <c r="A54" s="3" t="s">
        <v>86</v>
      </c>
      <c r="B54" s="3" t="s">
        <v>17</v>
      </c>
      <c r="C54" s="3" t="s">
        <v>168</v>
      </c>
      <c r="D54" s="3" t="s">
        <v>169</v>
      </c>
      <c r="E54" s="3" t="s">
        <v>76</v>
      </c>
      <c r="F54" s="3" t="s">
        <v>6</v>
      </c>
      <c r="G54" s="6">
        <v>34476825.25</v>
      </c>
      <c r="H54" s="6">
        <v>122019.63</v>
      </c>
      <c r="I54" s="6">
        <v>91868.53</v>
      </c>
      <c r="J54" s="6">
        <f t="shared" si="0"/>
        <v>30151.100000000006</v>
      </c>
      <c r="K54" s="3">
        <v>0.35</v>
      </c>
    </row>
    <row r="55" spans="1:11" s="3" customFormat="1" ht="15" customHeight="1" x14ac:dyDescent="0.25">
      <c r="A55" s="3" t="s">
        <v>86</v>
      </c>
      <c r="B55" s="3" t="s">
        <v>170</v>
      </c>
      <c r="C55" s="3" t="s">
        <v>171</v>
      </c>
      <c r="D55" s="3" t="s">
        <v>172</v>
      </c>
      <c r="E55" s="3" t="s">
        <v>76</v>
      </c>
      <c r="F55" s="3" t="s">
        <v>6</v>
      </c>
      <c r="G55" s="6">
        <v>14887989.6</v>
      </c>
      <c r="H55" s="6">
        <v>55366.38</v>
      </c>
      <c r="I55" s="6">
        <v>41659.03</v>
      </c>
      <c r="J55" s="6">
        <f t="shared" si="0"/>
        <v>13707.349999999999</v>
      </c>
      <c r="K55" s="3">
        <v>0.37</v>
      </c>
    </row>
    <row r="56" spans="1:11" s="3" customFormat="1" ht="15" customHeight="1" x14ac:dyDescent="0.25">
      <c r="A56" s="3" t="s">
        <v>86</v>
      </c>
      <c r="B56" s="3" t="s">
        <v>173</v>
      </c>
      <c r="C56" s="3" t="s">
        <v>174</v>
      </c>
      <c r="D56" s="3" t="s">
        <v>175</v>
      </c>
      <c r="E56" s="3" t="s">
        <v>76</v>
      </c>
      <c r="F56" s="3" t="s">
        <v>6</v>
      </c>
      <c r="G56" s="6">
        <v>8418286.0199999996</v>
      </c>
      <c r="H56" s="6">
        <v>16669.18</v>
      </c>
      <c r="I56" s="6">
        <v>9611.4</v>
      </c>
      <c r="J56" s="6">
        <f t="shared" si="0"/>
        <v>7057.7800000000007</v>
      </c>
      <c r="K56" s="3">
        <v>0.19</v>
      </c>
    </row>
    <row r="57" spans="1:11" s="3" customFormat="1" ht="15" customHeight="1" x14ac:dyDescent="0.25">
      <c r="A57" s="3" t="s">
        <v>86</v>
      </c>
      <c r="B57" s="3" t="s">
        <v>176</v>
      </c>
      <c r="C57" s="3" t="s">
        <v>177</v>
      </c>
      <c r="D57" s="3" t="s">
        <v>178</v>
      </c>
      <c r="E57" s="3" t="s">
        <v>76</v>
      </c>
      <c r="F57" s="3" t="s">
        <v>6</v>
      </c>
      <c r="G57" s="6">
        <v>5660957.5300000003</v>
      </c>
      <c r="H57" s="6">
        <v>16598.95</v>
      </c>
      <c r="I57" s="6">
        <v>9258.86</v>
      </c>
      <c r="J57" s="6">
        <f t="shared" si="0"/>
        <v>7340.09</v>
      </c>
      <c r="K57" s="3">
        <v>0.28999999999999998</v>
      </c>
    </row>
    <row r="58" spans="1:11" s="3" customFormat="1" ht="15" customHeight="1" x14ac:dyDescent="0.25">
      <c r="A58" s="3" t="s">
        <v>86</v>
      </c>
      <c r="B58" s="3" t="s">
        <v>179</v>
      </c>
      <c r="C58" s="3" t="s">
        <v>180</v>
      </c>
      <c r="D58" s="3" t="s">
        <v>181</v>
      </c>
      <c r="E58" s="3" t="s">
        <v>182</v>
      </c>
      <c r="F58" s="3" t="s">
        <v>6</v>
      </c>
      <c r="G58" s="6">
        <v>3209254.87</v>
      </c>
      <c r="H58" s="6">
        <v>13026.71</v>
      </c>
      <c r="I58" s="6">
        <v>8902.75</v>
      </c>
      <c r="J58" s="6">
        <f t="shared" si="0"/>
        <v>4123.9599999999991</v>
      </c>
      <c r="K58" s="3">
        <v>0.4</v>
      </c>
    </row>
    <row r="59" spans="1:11" s="3" customFormat="1" ht="15" customHeight="1" x14ac:dyDescent="0.25">
      <c r="A59" s="3" t="s">
        <v>86</v>
      </c>
      <c r="B59" s="3" t="s">
        <v>183</v>
      </c>
      <c r="C59" s="3" t="s">
        <v>184</v>
      </c>
      <c r="D59" s="3" t="s">
        <v>185</v>
      </c>
      <c r="E59" s="3" t="s">
        <v>76</v>
      </c>
      <c r="F59" s="3" t="s">
        <v>6</v>
      </c>
      <c r="G59" s="6">
        <v>1794754.95</v>
      </c>
      <c r="H59" s="6">
        <v>1778.95</v>
      </c>
      <c r="I59" s="6">
        <v>0</v>
      </c>
      <c r="J59" s="6">
        <f t="shared" si="0"/>
        <v>1778.95</v>
      </c>
      <c r="K59" s="3">
        <v>0.09</v>
      </c>
    </row>
    <row r="60" spans="1:11" s="3" customFormat="1" ht="15" customHeight="1" x14ac:dyDescent="0.25">
      <c r="A60" s="3" t="s">
        <v>86</v>
      </c>
      <c r="B60" s="3" t="s">
        <v>176</v>
      </c>
      <c r="C60" s="3" t="s">
        <v>186</v>
      </c>
      <c r="D60" s="3" t="s">
        <v>187</v>
      </c>
      <c r="E60" s="3" t="s">
        <v>76</v>
      </c>
      <c r="F60" s="3" t="s">
        <v>6</v>
      </c>
      <c r="G60" s="6">
        <v>1059117.3500000001</v>
      </c>
      <c r="H60" s="6">
        <v>2251.33</v>
      </c>
      <c r="I60" s="6">
        <v>933.87</v>
      </c>
      <c r="J60" s="6">
        <f t="shared" si="0"/>
        <v>1317.46</v>
      </c>
      <c r="K60" s="3">
        <v>0.21</v>
      </c>
    </row>
    <row r="61" spans="1:11" s="3" customFormat="1" ht="15" customHeight="1" x14ac:dyDescent="0.25">
      <c r="A61" s="3" t="s">
        <v>86</v>
      </c>
      <c r="B61" s="3" t="s">
        <v>188</v>
      </c>
      <c r="C61" s="3" t="s">
        <v>189</v>
      </c>
      <c r="D61" s="3" t="s">
        <v>190</v>
      </c>
      <c r="E61" s="3" t="s">
        <v>191</v>
      </c>
      <c r="F61" s="3" t="s">
        <v>192</v>
      </c>
      <c r="G61" s="6">
        <v>532413.1</v>
      </c>
      <c r="H61" s="6">
        <v>1532.16</v>
      </c>
      <c r="I61" s="6">
        <v>997.89</v>
      </c>
      <c r="J61" s="6">
        <f t="shared" si="0"/>
        <v>534.2700000000001</v>
      </c>
      <c r="K61" s="3">
        <v>0.28000000000000003</v>
      </c>
    </row>
    <row r="62" spans="1:11" s="3" customFormat="1" ht="15" customHeight="1" x14ac:dyDescent="0.25">
      <c r="A62" s="3" t="s">
        <v>193</v>
      </c>
      <c r="B62" s="3" t="s">
        <v>194</v>
      </c>
      <c r="C62" s="3" t="s">
        <v>195</v>
      </c>
      <c r="D62" s="3" t="s">
        <v>196</v>
      </c>
      <c r="E62" s="3" t="s">
        <v>76</v>
      </c>
      <c r="F62" s="3" t="s">
        <v>6</v>
      </c>
      <c r="G62" s="6">
        <v>7061216658.25</v>
      </c>
      <c r="H62" s="6">
        <v>711306.81</v>
      </c>
      <c r="I62" s="6">
        <v>55509.37</v>
      </c>
      <c r="J62" s="6">
        <f t="shared" si="0"/>
        <v>655797.44000000006</v>
      </c>
      <c r="K62" s="3">
        <v>0.01</v>
      </c>
    </row>
    <row r="63" spans="1:11" s="3" customFormat="1" ht="15" customHeight="1" x14ac:dyDescent="0.25">
      <c r="A63" s="3" t="s">
        <v>193</v>
      </c>
      <c r="B63" s="3" t="s">
        <v>17</v>
      </c>
      <c r="C63" s="3" t="s">
        <v>193</v>
      </c>
      <c r="D63" s="3" t="s">
        <v>197</v>
      </c>
      <c r="E63" s="3" t="s">
        <v>76</v>
      </c>
      <c r="F63" s="3" t="s">
        <v>6</v>
      </c>
      <c r="G63" s="6">
        <v>4667427434.7799997</v>
      </c>
      <c r="H63" s="6">
        <v>1692376.03</v>
      </c>
      <c r="I63" s="6">
        <v>1882.11</v>
      </c>
      <c r="J63" s="6">
        <f t="shared" si="0"/>
        <v>1690493.92</v>
      </c>
      <c r="K63" s="3">
        <v>0.03</v>
      </c>
    </row>
    <row r="64" spans="1:11" s="3" customFormat="1" ht="15" customHeight="1" x14ac:dyDescent="0.25">
      <c r="A64" s="3" t="s">
        <v>193</v>
      </c>
      <c r="B64" s="3" t="s">
        <v>17</v>
      </c>
      <c r="C64" s="3" t="s">
        <v>198</v>
      </c>
      <c r="D64" s="3" t="s">
        <v>199</v>
      </c>
      <c r="E64" s="3" t="s">
        <v>76</v>
      </c>
      <c r="F64" s="3" t="s">
        <v>6</v>
      </c>
      <c r="G64" s="6">
        <v>762624669.65999997</v>
      </c>
      <c r="H64" s="6">
        <v>716097.7</v>
      </c>
      <c r="I64" s="6">
        <v>452865.86</v>
      </c>
      <c r="J64" s="6">
        <f t="shared" si="0"/>
        <v>263231.83999999997</v>
      </c>
      <c r="K64" s="3">
        <v>0.09</v>
      </c>
    </row>
    <row r="65" spans="1:11" s="3" customFormat="1" ht="15" customHeight="1" x14ac:dyDescent="0.25">
      <c r="A65" s="3" t="s">
        <v>193</v>
      </c>
      <c r="B65" s="3" t="s">
        <v>200</v>
      </c>
      <c r="C65" s="3" t="s">
        <v>201</v>
      </c>
      <c r="D65" s="3" t="s">
        <v>202</v>
      </c>
      <c r="E65" s="3" t="s">
        <v>76</v>
      </c>
      <c r="F65" s="3" t="s">
        <v>6</v>
      </c>
      <c r="G65" s="6">
        <v>613141796.95000005</v>
      </c>
      <c r="H65" s="6">
        <v>188074.97</v>
      </c>
      <c r="I65" s="6">
        <v>33550.07</v>
      </c>
      <c r="J65" s="6">
        <f t="shared" si="0"/>
        <v>154524.9</v>
      </c>
      <c r="K65" s="3">
        <v>0.03</v>
      </c>
    </row>
    <row r="66" spans="1:11" s="3" customFormat="1" ht="15" customHeight="1" x14ac:dyDescent="0.25">
      <c r="A66" s="3" t="s">
        <v>203</v>
      </c>
      <c r="B66" s="3" t="s">
        <v>204</v>
      </c>
      <c r="C66" s="3" t="s">
        <v>203</v>
      </c>
      <c r="D66" s="3" t="s">
        <v>205</v>
      </c>
      <c r="E66" s="3" t="s">
        <v>76</v>
      </c>
      <c r="F66" s="3" t="s">
        <v>6</v>
      </c>
      <c r="G66" s="6">
        <v>960585218.97000003</v>
      </c>
      <c r="H66" s="6">
        <v>1264600.68</v>
      </c>
      <c r="I66" s="6">
        <v>0</v>
      </c>
      <c r="J66" s="6">
        <f t="shared" si="0"/>
        <v>1264600.68</v>
      </c>
      <c r="K66" s="3">
        <v>0.13</v>
      </c>
    </row>
    <row r="67" spans="1:11" s="3" customFormat="1" ht="15" customHeight="1" x14ac:dyDescent="0.25">
      <c r="A67" s="3" t="s">
        <v>206</v>
      </c>
      <c r="B67" s="3" t="s">
        <v>17</v>
      </c>
      <c r="C67" s="3" t="s">
        <v>207</v>
      </c>
      <c r="D67" s="3" t="s">
        <v>208</v>
      </c>
      <c r="E67" s="3" t="s">
        <v>209</v>
      </c>
      <c r="F67" s="3" t="s">
        <v>6</v>
      </c>
      <c r="G67" s="6">
        <v>1848844959.25</v>
      </c>
      <c r="H67" s="6">
        <v>3732733.45</v>
      </c>
      <c r="I67" s="6">
        <v>2642081.63</v>
      </c>
      <c r="J67" s="6">
        <f t="shared" si="0"/>
        <v>1090651.8200000003</v>
      </c>
      <c r="K67" s="3">
        <v>0.2</v>
      </c>
    </row>
    <row r="68" spans="1:11" s="3" customFormat="1" ht="15" customHeight="1" x14ac:dyDescent="0.25">
      <c r="A68" s="3" t="s">
        <v>206</v>
      </c>
      <c r="B68" s="3" t="s">
        <v>210</v>
      </c>
      <c r="C68" s="3" t="s">
        <v>206</v>
      </c>
      <c r="D68" s="3" t="s">
        <v>211</v>
      </c>
      <c r="E68" s="3" t="s">
        <v>209</v>
      </c>
      <c r="F68" s="3" t="s">
        <v>6</v>
      </c>
      <c r="G68" s="6">
        <v>1162798345.6800001</v>
      </c>
      <c r="H68" s="6">
        <v>1257655.81</v>
      </c>
      <c r="I68" s="6">
        <v>23.64</v>
      </c>
      <c r="J68" s="6">
        <f t="shared" ref="J68:J131" si="1">H68-I68</f>
        <v>1257632.1700000002</v>
      </c>
      <c r="K68" s="3">
        <v>0.1</v>
      </c>
    </row>
    <row r="69" spans="1:11" s="3" customFormat="1" ht="15" customHeight="1" x14ac:dyDescent="0.25">
      <c r="A69" s="3" t="s">
        <v>206</v>
      </c>
      <c r="B69" s="3" t="s">
        <v>17</v>
      </c>
      <c r="C69" s="3" t="s">
        <v>212</v>
      </c>
      <c r="D69" s="3" t="s">
        <v>213</v>
      </c>
      <c r="E69" s="3" t="s">
        <v>209</v>
      </c>
      <c r="F69" s="3" t="s">
        <v>6</v>
      </c>
      <c r="G69" s="6">
        <v>854808224.50999999</v>
      </c>
      <c r="H69" s="6">
        <v>1863218.87</v>
      </c>
      <c r="I69" s="6">
        <v>1400390.71</v>
      </c>
      <c r="J69" s="6">
        <f t="shared" si="1"/>
        <v>462828.16000000015</v>
      </c>
      <c r="K69" s="3">
        <v>0.21</v>
      </c>
    </row>
    <row r="70" spans="1:11" s="3" customFormat="1" ht="15" customHeight="1" x14ac:dyDescent="0.25">
      <c r="A70" s="3" t="s">
        <v>206</v>
      </c>
      <c r="B70" s="3" t="s">
        <v>214</v>
      </c>
      <c r="C70" s="3" t="s">
        <v>215</v>
      </c>
      <c r="D70" s="3" t="s">
        <v>216</v>
      </c>
      <c r="E70" s="3" t="s">
        <v>209</v>
      </c>
      <c r="F70" s="3" t="s">
        <v>6</v>
      </c>
      <c r="G70" s="6">
        <v>839142619.41999996</v>
      </c>
      <c r="H70" s="6">
        <v>1598564.57</v>
      </c>
      <c r="I70" s="6">
        <v>1178916.8999999999</v>
      </c>
      <c r="J70" s="6">
        <f t="shared" si="1"/>
        <v>419647.67000000016</v>
      </c>
      <c r="K70" s="3">
        <v>0.19</v>
      </c>
    </row>
    <row r="71" spans="1:11" s="3" customFormat="1" ht="15" customHeight="1" x14ac:dyDescent="0.25">
      <c r="A71" s="3" t="s">
        <v>206</v>
      </c>
      <c r="B71" s="3" t="s">
        <v>17</v>
      </c>
      <c r="C71" s="3" t="s">
        <v>217</v>
      </c>
      <c r="D71" s="3" t="s">
        <v>218</v>
      </c>
      <c r="E71" s="3" t="s">
        <v>209</v>
      </c>
      <c r="F71" s="3" t="s">
        <v>6</v>
      </c>
      <c r="G71" s="6">
        <v>647360830.71000004</v>
      </c>
      <c r="H71" s="6">
        <v>1207732.58</v>
      </c>
      <c r="I71" s="6">
        <v>803184</v>
      </c>
      <c r="J71" s="6">
        <f t="shared" si="1"/>
        <v>404548.58000000007</v>
      </c>
      <c r="K71" s="3">
        <v>0.18</v>
      </c>
    </row>
    <row r="72" spans="1:11" s="3" customFormat="1" ht="15" customHeight="1" x14ac:dyDescent="0.25">
      <c r="A72" s="3" t="s">
        <v>206</v>
      </c>
      <c r="B72" s="3" t="s">
        <v>219</v>
      </c>
      <c r="C72" s="3" t="s">
        <v>220</v>
      </c>
      <c r="D72" s="3" t="s">
        <v>221</v>
      </c>
      <c r="E72" s="3" t="s">
        <v>222</v>
      </c>
      <c r="F72" s="3" t="s">
        <v>6</v>
      </c>
      <c r="G72" s="6">
        <v>137150166.81</v>
      </c>
      <c r="H72" s="6">
        <v>373763.07</v>
      </c>
      <c r="I72" s="6">
        <v>217381.74</v>
      </c>
      <c r="J72" s="6">
        <f t="shared" si="1"/>
        <v>156381.33000000002</v>
      </c>
      <c r="K72" s="3">
        <v>0.27</v>
      </c>
    </row>
    <row r="73" spans="1:11" s="3" customFormat="1" ht="15" customHeight="1" x14ac:dyDescent="0.25">
      <c r="A73" s="3" t="s">
        <v>206</v>
      </c>
      <c r="B73" s="3" t="s">
        <v>90</v>
      </c>
      <c r="C73" s="3" t="s">
        <v>223</v>
      </c>
      <c r="D73" s="3" t="s">
        <v>224</v>
      </c>
      <c r="E73" s="3" t="s">
        <v>209</v>
      </c>
      <c r="F73" s="3" t="s">
        <v>6</v>
      </c>
      <c r="G73" s="6">
        <v>27524759.510000002</v>
      </c>
      <c r="H73" s="6">
        <v>24713.72</v>
      </c>
      <c r="I73" s="6">
        <v>0</v>
      </c>
      <c r="J73" s="6">
        <f t="shared" si="1"/>
        <v>24713.72</v>
      </c>
      <c r="K73" s="3">
        <v>0.08</v>
      </c>
    </row>
    <row r="74" spans="1:11" s="3" customFormat="1" ht="15" customHeight="1" x14ac:dyDescent="0.25">
      <c r="A74" s="3" t="s">
        <v>206</v>
      </c>
      <c r="B74" s="3" t="s">
        <v>225</v>
      </c>
      <c r="C74" s="3" t="s">
        <v>226</v>
      </c>
      <c r="D74" s="3" t="s">
        <v>227</v>
      </c>
      <c r="E74" s="3" t="s">
        <v>209</v>
      </c>
      <c r="F74" s="3" t="s">
        <v>6</v>
      </c>
      <c r="G74" s="6">
        <v>7894485.75</v>
      </c>
      <c r="H74" s="6">
        <v>37691.279999999999</v>
      </c>
      <c r="I74" s="6">
        <v>29110.59</v>
      </c>
      <c r="J74" s="6">
        <f t="shared" si="1"/>
        <v>8580.6899999999987</v>
      </c>
      <c r="K74" s="3">
        <v>0.47</v>
      </c>
    </row>
    <row r="75" spans="1:11" s="3" customFormat="1" ht="15" customHeight="1" x14ac:dyDescent="0.25">
      <c r="A75" s="3" t="s">
        <v>228</v>
      </c>
      <c r="B75" s="3" t="s">
        <v>229</v>
      </c>
      <c r="C75" s="3" t="s">
        <v>230</v>
      </c>
      <c r="D75" s="3" t="s">
        <v>231</v>
      </c>
      <c r="E75" s="3" t="s">
        <v>232</v>
      </c>
      <c r="F75" s="3" t="s">
        <v>6</v>
      </c>
      <c r="G75" s="6">
        <v>4269202291.3000002</v>
      </c>
      <c r="H75" s="6">
        <v>7533252.3300000001</v>
      </c>
      <c r="I75" s="6">
        <v>5428039.4199999999</v>
      </c>
      <c r="J75" s="6">
        <f t="shared" si="1"/>
        <v>2105212.91</v>
      </c>
      <c r="K75" s="3">
        <v>0.17</v>
      </c>
    </row>
    <row r="76" spans="1:11" s="3" customFormat="1" ht="15" customHeight="1" x14ac:dyDescent="0.25">
      <c r="A76" s="3" t="s">
        <v>228</v>
      </c>
      <c r="B76" s="3" t="s">
        <v>17</v>
      </c>
      <c r="C76" s="3" t="s">
        <v>228</v>
      </c>
      <c r="D76" s="3" t="s">
        <v>233</v>
      </c>
      <c r="E76" s="3" t="s">
        <v>234</v>
      </c>
      <c r="F76" s="3" t="s">
        <v>6</v>
      </c>
      <c r="G76" s="6">
        <v>505477684.41000003</v>
      </c>
      <c r="H76" s="6">
        <v>610710.85</v>
      </c>
      <c r="I76" s="6">
        <v>3152.36</v>
      </c>
      <c r="J76" s="6">
        <f t="shared" si="1"/>
        <v>607558.49</v>
      </c>
      <c r="K76" s="3">
        <v>0.12</v>
      </c>
    </row>
    <row r="77" spans="1:11" s="3" customFormat="1" ht="15" customHeight="1" x14ac:dyDescent="0.25">
      <c r="A77" s="3" t="s">
        <v>228</v>
      </c>
      <c r="B77" s="3" t="s">
        <v>17</v>
      </c>
      <c r="C77" s="3" t="s">
        <v>235</v>
      </c>
      <c r="D77" s="3" t="s">
        <v>236</v>
      </c>
      <c r="E77" s="3" t="s">
        <v>234</v>
      </c>
      <c r="F77" s="3" t="s">
        <v>6</v>
      </c>
      <c r="G77" s="6">
        <v>353103923.08999997</v>
      </c>
      <c r="H77" s="6">
        <v>934601.12</v>
      </c>
      <c r="I77" s="6">
        <v>657618.65</v>
      </c>
      <c r="J77" s="6">
        <f t="shared" si="1"/>
        <v>276982.46999999997</v>
      </c>
      <c r="K77" s="3">
        <v>0.26</v>
      </c>
    </row>
    <row r="78" spans="1:11" s="3" customFormat="1" ht="15" customHeight="1" x14ac:dyDescent="0.25">
      <c r="A78" s="3" t="s">
        <v>228</v>
      </c>
      <c r="B78" s="3" t="s">
        <v>237</v>
      </c>
      <c r="C78" s="3" t="s">
        <v>238</v>
      </c>
      <c r="D78" s="3" t="s">
        <v>239</v>
      </c>
      <c r="E78" s="3" t="s">
        <v>240</v>
      </c>
      <c r="F78" s="3" t="s">
        <v>6</v>
      </c>
      <c r="G78" s="6">
        <v>283870392.44</v>
      </c>
      <c r="H78" s="6">
        <v>523334.72</v>
      </c>
      <c r="I78" s="6">
        <v>359241.23</v>
      </c>
      <c r="J78" s="6">
        <f t="shared" si="1"/>
        <v>164093.49</v>
      </c>
      <c r="K78" s="3">
        <v>0.18</v>
      </c>
    </row>
    <row r="79" spans="1:11" s="3" customFormat="1" ht="15" customHeight="1" x14ac:dyDescent="0.25">
      <c r="A79" s="3" t="s">
        <v>228</v>
      </c>
      <c r="B79" s="3" t="s">
        <v>241</v>
      </c>
      <c r="C79" s="3" t="s">
        <v>242</v>
      </c>
      <c r="D79" s="3" t="s">
        <v>243</v>
      </c>
      <c r="E79" s="3" t="s">
        <v>234</v>
      </c>
      <c r="F79" s="3" t="s">
        <v>6</v>
      </c>
      <c r="G79" s="6">
        <v>55006418.670000002</v>
      </c>
      <c r="H79" s="6">
        <v>127119.42</v>
      </c>
      <c r="I79" s="6">
        <v>90717.8</v>
      </c>
      <c r="J79" s="6">
        <f t="shared" si="1"/>
        <v>36401.619999999995</v>
      </c>
      <c r="K79" s="3">
        <v>0.23</v>
      </c>
    </row>
    <row r="80" spans="1:11" s="3" customFormat="1" ht="15" customHeight="1" x14ac:dyDescent="0.25">
      <c r="A80" s="3" t="s">
        <v>228</v>
      </c>
      <c r="B80" s="3" t="s">
        <v>244</v>
      </c>
      <c r="C80" s="3" t="s">
        <v>245</v>
      </c>
      <c r="D80" s="3" t="s">
        <v>246</v>
      </c>
      <c r="E80" s="3" t="s">
        <v>232</v>
      </c>
      <c r="F80" s="3" t="s">
        <v>6</v>
      </c>
      <c r="G80" s="6">
        <v>882570.85</v>
      </c>
      <c r="H80" s="6">
        <v>3938.59</v>
      </c>
      <c r="I80" s="6">
        <v>3034.36</v>
      </c>
      <c r="J80" s="6">
        <f t="shared" si="1"/>
        <v>904.23</v>
      </c>
      <c r="K80" s="3">
        <v>0.44</v>
      </c>
    </row>
    <row r="81" spans="1:11" s="3" customFormat="1" ht="15" customHeight="1" x14ac:dyDescent="0.25">
      <c r="A81" s="3" t="s">
        <v>247</v>
      </c>
      <c r="B81" s="3" t="s">
        <v>248</v>
      </c>
      <c r="C81" s="3" t="s">
        <v>247</v>
      </c>
      <c r="D81" s="3" t="s">
        <v>249</v>
      </c>
      <c r="E81" s="3" t="s">
        <v>250</v>
      </c>
      <c r="F81" s="3" t="s">
        <v>6</v>
      </c>
      <c r="G81" s="6">
        <v>340753255.76999998</v>
      </c>
      <c r="H81" s="6">
        <v>828055.55</v>
      </c>
      <c r="I81" s="6">
        <v>0</v>
      </c>
      <c r="J81" s="6">
        <f t="shared" si="1"/>
        <v>828055.55</v>
      </c>
      <c r="K81" s="3">
        <v>0.24</v>
      </c>
    </row>
    <row r="82" spans="1:11" s="3" customFormat="1" ht="15" customHeight="1" x14ac:dyDescent="0.25">
      <c r="A82" s="3" t="s">
        <v>247</v>
      </c>
      <c r="B82" s="3" t="s">
        <v>251</v>
      </c>
      <c r="C82" s="3" t="s">
        <v>252</v>
      </c>
      <c r="D82" s="3" t="s">
        <v>253</v>
      </c>
      <c r="E82" s="3" t="s">
        <v>54</v>
      </c>
      <c r="F82" s="3" t="s">
        <v>6</v>
      </c>
      <c r="G82" s="6">
        <v>265406140.88</v>
      </c>
      <c r="H82" s="6">
        <v>607744.28</v>
      </c>
      <c r="I82" s="6">
        <v>413292.02</v>
      </c>
      <c r="J82" s="6">
        <f t="shared" si="1"/>
        <v>194452.26</v>
      </c>
      <c r="K82" s="3">
        <v>0.22</v>
      </c>
    </row>
    <row r="83" spans="1:11" s="3" customFormat="1" ht="15" customHeight="1" x14ac:dyDescent="0.25">
      <c r="A83" s="3" t="s">
        <v>254</v>
      </c>
      <c r="B83" s="3" t="s">
        <v>255</v>
      </c>
      <c r="C83" s="3" t="s">
        <v>254</v>
      </c>
      <c r="D83" s="3" t="s">
        <v>256</v>
      </c>
      <c r="E83" s="3" t="s">
        <v>76</v>
      </c>
      <c r="F83" s="3" t="s">
        <v>6</v>
      </c>
      <c r="G83" s="6">
        <v>529411872.10000002</v>
      </c>
      <c r="H83" s="6">
        <v>882801.83</v>
      </c>
      <c r="I83" s="6">
        <v>9923.58</v>
      </c>
      <c r="J83" s="6">
        <f t="shared" si="1"/>
        <v>872878.25</v>
      </c>
      <c r="K83" s="3">
        <v>0.16</v>
      </c>
    </row>
    <row r="84" spans="1:11" s="3" customFormat="1" ht="15" customHeight="1" x14ac:dyDescent="0.25">
      <c r="A84" s="3" t="s">
        <v>257</v>
      </c>
      <c r="B84" s="3" t="s">
        <v>258</v>
      </c>
      <c r="C84" s="3" t="s">
        <v>257</v>
      </c>
      <c r="D84" s="3" t="s">
        <v>259</v>
      </c>
      <c r="E84" s="3" t="s">
        <v>250</v>
      </c>
      <c r="F84" s="3" t="s">
        <v>6</v>
      </c>
      <c r="G84" s="6">
        <v>1551840291.4300001</v>
      </c>
      <c r="H84" s="6">
        <v>2205225.4900000002</v>
      </c>
      <c r="I84" s="6">
        <v>83373.039999999994</v>
      </c>
      <c r="J84" s="6">
        <f t="shared" si="1"/>
        <v>2121852.4500000002</v>
      </c>
      <c r="K84" s="3">
        <v>0.14000000000000001</v>
      </c>
    </row>
    <row r="85" spans="1:11" s="3" customFormat="1" ht="15" customHeight="1" x14ac:dyDescent="0.25">
      <c r="A85" s="3" t="s">
        <v>257</v>
      </c>
      <c r="B85" s="3" t="s">
        <v>260</v>
      </c>
      <c r="C85" s="3" t="s">
        <v>261</v>
      </c>
      <c r="D85" s="3" t="s">
        <v>262</v>
      </c>
      <c r="E85" s="3" t="s">
        <v>250</v>
      </c>
      <c r="F85" s="3" t="s">
        <v>6</v>
      </c>
      <c r="G85" s="6">
        <v>245820350.99000001</v>
      </c>
      <c r="H85" s="6">
        <v>286601.86</v>
      </c>
      <c r="I85" s="6">
        <v>181611.44</v>
      </c>
      <c r="J85" s="6">
        <f t="shared" si="1"/>
        <v>104990.41999999998</v>
      </c>
      <c r="K85" s="3">
        <v>0.11</v>
      </c>
    </row>
    <row r="86" spans="1:11" s="3" customFormat="1" ht="15" customHeight="1" x14ac:dyDescent="0.25">
      <c r="A86" s="3" t="s">
        <v>257</v>
      </c>
      <c r="B86" s="3" t="s">
        <v>263</v>
      </c>
      <c r="C86" s="3" t="s">
        <v>264</v>
      </c>
      <c r="D86" s="3" t="s">
        <v>265</v>
      </c>
      <c r="E86" s="3" t="s">
        <v>250</v>
      </c>
      <c r="F86" s="3" t="s">
        <v>6</v>
      </c>
      <c r="G86" s="6">
        <v>124981545.03</v>
      </c>
      <c r="H86" s="6">
        <v>296609.19</v>
      </c>
      <c r="I86" s="6">
        <v>219183.91</v>
      </c>
      <c r="J86" s="6">
        <f t="shared" si="1"/>
        <v>77425.279999999999</v>
      </c>
      <c r="K86" s="3">
        <v>0.23</v>
      </c>
    </row>
    <row r="87" spans="1:11" s="3" customFormat="1" ht="15" customHeight="1" x14ac:dyDescent="0.25">
      <c r="A87" s="3" t="s">
        <v>257</v>
      </c>
      <c r="B87" s="3" t="s">
        <v>266</v>
      </c>
      <c r="C87" s="3" t="s">
        <v>267</v>
      </c>
      <c r="D87" s="3" t="s">
        <v>268</v>
      </c>
      <c r="E87" s="3" t="s">
        <v>250</v>
      </c>
      <c r="F87" s="3" t="s">
        <v>6</v>
      </c>
      <c r="G87" s="6">
        <v>120448695.81999999</v>
      </c>
      <c r="H87" s="6">
        <v>332193.90999999997</v>
      </c>
      <c r="I87" s="6">
        <v>250100.27</v>
      </c>
      <c r="J87" s="6">
        <f t="shared" si="1"/>
        <v>82093.639999999985</v>
      </c>
      <c r="K87" s="3">
        <v>0.27</v>
      </c>
    </row>
    <row r="88" spans="1:11" s="3" customFormat="1" ht="15" customHeight="1" x14ac:dyDescent="0.25">
      <c r="A88" s="3" t="s">
        <v>257</v>
      </c>
      <c r="B88" s="3" t="s">
        <v>269</v>
      </c>
      <c r="C88" s="3" t="s">
        <v>270</v>
      </c>
      <c r="D88" s="3" t="s">
        <v>271</v>
      </c>
      <c r="E88" s="3" t="s">
        <v>250</v>
      </c>
      <c r="F88" s="3" t="s">
        <v>6</v>
      </c>
      <c r="G88" s="6">
        <v>54111885.859999999</v>
      </c>
      <c r="H88" s="6">
        <v>119764.24</v>
      </c>
      <c r="I88" s="6">
        <v>94701.23</v>
      </c>
      <c r="J88" s="6">
        <f t="shared" si="1"/>
        <v>25063.010000000009</v>
      </c>
      <c r="K88" s="3">
        <v>0.22</v>
      </c>
    </row>
    <row r="89" spans="1:11" s="3" customFormat="1" ht="15" customHeight="1" x14ac:dyDescent="0.25">
      <c r="A89" s="3" t="s">
        <v>257</v>
      </c>
      <c r="B89" s="3" t="s">
        <v>272</v>
      </c>
      <c r="C89" s="3" t="s">
        <v>273</v>
      </c>
      <c r="D89" s="3" t="s">
        <v>274</v>
      </c>
      <c r="E89" s="3" t="s">
        <v>250</v>
      </c>
      <c r="F89" s="3" t="s">
        <v>6</v>
      </c>
      <c r="G89" s="6">
        <v>49501571.090000004</v>
      </c>
      <c r="H89" s="6">
        <v>83507.47</v>
      </c>
      <c r="I89" s="6">
        <v>65247.09</v>
      </c>
      <c r="J89" s="6">
        <f t="shared" si="1"/>
        <v>18260.380000000005</v>
      </c>
      <c r="K89" s="3">
        <v>0.16</v>
      </c>
    </row>
    <row r="90" spans="1:11" s="3" customFormat="1" ht="15" customHeight="1" x14ac:dyDescent="0.25">
      <c r="A90" s="3" t="s">
        <v>275</v>
      </c>
      <c r="B90" s="3" t="s">
        <v>276</v>
      </c>
      <c r="C90" s="3" t="s">
        <v>275</v>
      </c>
      <c r="D90" s="3" t="s">
        <v>277</v>
      </c>
      <c r="E90" s="3" t="s">
        <v>76</v>
      </c>
      <c r="F90" s="3" t="s">
        <v>6</v>
      </c>
      <c r="G90" s="6">
        <v>520162650.08999997</v>
      </c>
      <c r="H90" s="6">
        <v>1064313.9099999999</v>
      </c>
      <c r="I90" s="6">
        <v>0</v>
      </c>
      <c r="J90" s="6">
        <f t="shared" si="1"/>
        <v>1064313.9099999999</v>
      </c>
      <c r="K90" s="3">
        <v>0.2</v>
      </c>
    </row>
    <row r="91" spans="1:11" s="3" customFormat="1" ht="15" customHeight="1" x14ac:dyDescent="0.25">
      <c r="A91" s="3" t="s">
        <v>278</v>
      </c>
      <c r="B91" s="3" t="s">
        <v>279</v>
      </c>
      <c r="C91" s="3" t="s">
        <v>278</v>
      </c>
      <c r="D91" s="3" t="s">
        <v>280</v>
      </c>
      <c r="E91" s="3" t="s">
        <v>76</v>
      </c>
      <c r="F91" s="3" t="s">
        <v>6</v>
      </c>
      <c r="G91" s="6">
        <v>942956927.75999999</v>
      </c>
      <c r="H91" s="6">
        <v>1077758.6499999999</v>
      </c>
      <c r="I91" s="6">
        <v>0</v>
      </c>
      <c r="J91" s="6">
        <f t="shared" si="1"/>
        <v>1077758.6499999999</v>
      </c>
      <c r="K91" s="3">
        <v>0.11</v>
      </c>
    </row>
    <row r="92" spans="1:11" s="3" customFormat="1" ht="15" customHeight="1" x14ac:dyDescent="0.25">
      <c r="A92" s="3" t="s">
        <v>278</v>
      </c>
      <c r="B92" s="3" t="s">
        <v>281</v>
      </c>
      <c r="C92" s="3" t="s">
        <v>282</v>
      </c>
      <c r="D92" s="3" t="s">
        <v>283</v>
      </c>
      <c r="E92" s="3" t="s">
        <v>76</v>
      </c>
      <c r="F92" s="3" t="s">
        <v>6</v>
      </c>
      <c r="G92" s="6">
        <v>504287762.69999999</v>
      </c>
      <c r="H92" s="6">
        <v>701419.55</v>
      </c>
      <c r="I92" s="6">
        <v>454270.01</v>
      </c>
      <c r="J92" s="6">
        <f t="shared" si="1"/>
        <v>247149.54000000004</v>
      </c>
      <c r="K92" s="3">
        <v>0.13</v>
      </c>
    </row>
    <row r="93" spans="1:11" s="3" customFormat="1" ht="15" customHeight="1" x14ac:dyDescent="0.25">
      <c r="A93" s="3" t="s">
        <v>278</v>
      </c>
      <c r="B93" s="3" t="s">
        <v>284</v>
      </c>
      <c r="C93" s="3" t="s">
        <v>285</v>
      </c>
      <c r="D93" s="3" t="s">
        <v>286</v>
      </c>
      <c r="E93" s="3" t="s">
        <v>76</v>
      </c>
      <c r="F93" s="3" t="s">
        <v>6</v>
      </c>
      <c r="G93" s="6">
        <v>161778153.16</v>
      </c>
      <c r="H93" s="6">
        <v>408778.99</v>
      </c>
      <c r="I93" s="6">
        <v>261943.4</v>
      </c>
      <c r="J93" s="6">
        <f t="shared" si="1"/>
        <v>146835.59</v>
      </c>
      <c r="K93" s="3">
        <v>0.25</v>
      </c>
    </row>
    <row r="94" spans="1:11" s="3" customFormat="1" ht="15" customHeight="1" x14ac:dyDescent="0.25">
      <c r="A94" s="3" t="s">
        <v>287</v>
      </c>
      <c r="B94" s="3" t="s">
        <v>288</v>
      </c>
      <c r="C94" s="3" t="s">
        <v>287</v>
      </c>
      <c r="D94" s="3" t="s">
        <v>289</v>
      </c>
      <c r="E94" s="3" t="s">
        <v>76</v>
      </c>
      <c r="F94" s="3" t="s">
        <v>6</v>
      </c>
      <c r="G94" s="6">
        <v>854966355.60000002</v>
      </c>
      <c r="H94" s="6">
        <v>741128.13</v>
      </c>
      <c r="I94" s="6">
        <v>561.19000000000005</v>
      </c>
      <c r="J94" s="6">
        <f t="shared" si="1"/>
        <v>740566.94000000006</v>
      </c>
      <c r="K94" s="3">
        <v>0.08</v>
      </c>
    </row>
    <row r="95" spans="1:11" s="3" customFormat="1" ht="15" customHeight="1" x14ac:dyDescent="0.25">
      <c r="A95" s="3" t="s">
        <v>290</v>
      </c>
      <c r="B95" s="3" t="s">
        <v>291</v>
      </c>
      <c r="C95" s="3" t="s">
        <v>290</v>
      </c>
      <c r="D95" s="3" t="s">
        <v>292</v>
      </c>
      <c r="E95" s="3" t="s">
        <v>76</v>
      </c>
      <c r="F95" s="3" t="s">
        <v>6</v>
      </c>
      <c r="G95" s="6">
        <v>600371060.47000003</v>
      </c>
      <c r="H95" s="6">
        <v>883654.07</v>
      </c>
      <c r="I95" s="6">
        <v>0</v>
      </c>
      <c r="J95" s="6">
        <f t="shared" si="1"/>
        <v>883654.07</v>
      </c>
      <c r="K95" s="3">
        <v>0.14000000000000001</v>
      </c>
    </row>
    <row r="96" spans="1:11" s="3" customFormat="1" ht="15" customHeight="1" x14ac:dyDescent="0.25">
      <c r="A96" s="3" t="s">
        <v>293</v>
      </c>
      <c r="B96" s="3" t="s">
        <v>294</v>
      </c>
      <c r="C96" s="3" t="s">
        <v>293</v>
      </c>
      <c r="D96" s="3" t="s">
        <v>295</v>
      </c>
      <c r="E96" s="3" t="s">
        <v>76</v>
      </c>
      <c r="F96" s="3" t="s">
        <v>6</v>
      </c>
      <c r="G96" s="6">
        <v>216734620.40000001</v>
      </c>
      <c r="H96" s="6">
        <v>525842.19999999995</v>
      </c>
      <c r="I96" s="6">
        <v>7035.96</v>
      </c>
      <c r="J96" s="6">
        <f t="shared" si="1"/>
        <v>518806.23999999993</v>
      </c>
      <c r="K96" s="3">
        <v>0.24</v>
      </c>
    </row>
    <row r="97" spans="1:11" s="3" customFormat="1" ht="15" customHeight="1" x14ac:dyDescent="0.25">
      <c r="A97" s="3" t="s">
        <v>296</v>
      </c>
      <c r="B97" s="3" t="s">
        <v>297</v>
      </c>
      <c r="C97" s="3" t="s">
        <v>298</v>
      </c>
      <c r="D97" s="3" t="s">
        <v>299</v>
      </c>
      <c r="E97" s="3" t="s">
        <v>5</v>
      </c>
      <c r="F97" s="3" t="s">
        <v>6</v>
      </c>
      <c r="G97" s="6">
        <v>2335053363.9000001</v>
      </c>
      <c r="H97" s="6">
        <v>3265818.26</v>
      </c>
      <c r="I97" s="6">
        <v>2423449.1</v>
      </c>
      <c r="J97" s="6">
        <f t="shared" si="1"/>
        <v>842369.15999999968</v>
      </c>
      <c r="K97" s="3">
        <v>0.13</v>
      </c>
    </row>
    <row r="98" spans="1:11" s="3" customFormat="1" ht="15" customHeight="1" x14ac:dyDescent="0.25">
      <c r="A98" s="3" t="s">
        <v>296</v>
      </c>
      <c r="B98" s="3" t="s">
        <v>300</v>
      </c>
      <c r="C98" s="3" t="s">
        <v>301</v>
      </c>
      <c r="D98" s="3" t="s">
        <v>302</v>
      </c>
      <c r="E98" s="3" t="s">
        <v>5</v>
      </c>
      <c r="F98" s="3" t="s">
        <v>6</v>
      </c>
      <c r="G98" s="6">
        <v>807266897.59000003</v>
      </c>
      <c r="H98" s="6">
        <v>2035121.82</v>
      </c>
      <c r="I98" s="6">
        <v>1338748.3700000001</v>
      </c>
      <c r="J98" s="6">
        <f t="shared" si="1"/>
        <v>696373.45</v>
      </c>
      <c r="K98" s="3">
        <v>0.25</v>
      </c>
    </row>
    <row r="99" spans="1:11" s="3" customFormat="1" ht="15" customHeight="1" x14ac:dyDescent="0.25">
      <c r="A99" s="3" t="s">
        <v>296</v>
      </c>
      <c r="B99" s="3" t="s">
        <v>303</v>
      </c>
      <c r="C99" s="3" t="s">
        <v>304</v>
      </c>
      <c r="D99" s="3" t="s">
        <v>305</v>
      </c>
      <c r="E99" s="3" t="s">
        <v>5</v>
      </c>
      <c r="F99" s="3" t="s">
        <v>6</v>
      </c>
      <c r="G99" s="6">
        <v>507124639.63</v>
      </c>
      <c r="H99" s="6">
        <v>333758.44</v>
      </c>
      <c r="I99" s="6">
        <v>189280.15</v>
      </c>
      <c r="J99" s="6">
        <f t="shared" si="1"/>
        <v>144478.29</v>
      </c>
      <c r="K99" s="3">
        <v>0.06</v>
      </c>
    </row>
    <row r="100" spans="1:11" s="3" customFormat="1" ht="15" customHeight="1" x14ac:dyDescent="0.25">
      <c r="A100" s="3" t="s">
        <v>296</v>
      </c>
      <c r="B100" s="3" t="s">
        <v>306</v>
      </c>
      <c r="C100" s="3" t="s">
        <v>307</v>
      </c>
      <c r="D100" s="3" t="s">
        <v>308</v>
      </c>
      <c r="E100" s="3" t="s">
        <v>5</v>
      </c>
      <c r="F100" s="3" t="s">
        <v>6</v>
      </c>
      <c r="G100" s="6">
        <v>342925843.75999999</v>
      </c>
      <c r="H100" s="6">
        <v>1653152.61</v>
      </c>
      <c r="I100" s="6">
        <v>1249833.28</v>
      </c>
      <c r="J100" s="6">
        <f t="shared" si="1"/>
        <v>403319.33000000007</v>
      </c>
      <c r="K100" s="3">
        <v>0.48</v>
      </c>
    </row>
    <row r="101" spans="1:11" s="3" customFormat="1" ht="15" customHeight="1" x14ac:dyDescent="0.25">
      <c r="A101" s="3" t="s">
        <v>296</v>
      </c>
      <c r="B101" s="3" t="s">
        <v>309</v>
      </c>
      <c r="C101" s="3" t="s">
        <v>310</v>
      </c>
      <c r="D101" s="3" t="s">
        <v>311</v>
      </c>
      <c r="E101" s="3" t="s">
        <v>312</v>
      </c>
      <c r="F101" s="3" t="s">
        <v>6</v>
      </c>
      <c r="G101" s="6">
        <v>315274992.14999998</v>
      </c>
      <c r="H101" s="6">
        <v>856613.43</v>
      </c>
      <c r="I101" s="6">
        <v>558630.93000000005</v>
      </c>
      <c r="J101" s="6">
        <f t="shared" si="1"/>
        <v>297982.5</v>
      </c>
      <c r="K101" s="3">
        <v>0.27</v>
      </c>
    </row>
    <row r="102" spans="1:11" s="3" customFormat="1" ht="15" customHeight="1" x14ac:dyDescent="0.25">
      <c r="A102" s="3" t="s">
        <v>296</v>
      </c>
      <c r="B102" s="3" t="s">
        <v>313</v>
      </c>
      <c r="C102" s="3" t="s">
        <v>314</v>
      </c>
      <c r="D102" s="3" t="s">
        <v>315</v>
      </c>
      <c r="E102" s="3" t="s">
        <v>5</v>
      </c>
      <c r="F102" s="3" t="s">
        <v>6</v>
      </c>
      <c r="G102" s="6">
        <v>122215052.90000001</v>
      </c>
      <c r="H102" s="6">
        <v>465123.09</v>
      </c>
      <c r="I102" s="6">
        <v>316567.31</v>
      </c>
      <c r="J102" s="6">
        <f t="shared" si="1"/>
        <v>148555.78000000003</v>
      </c>
      <c r="K102" s="3">
        <v>0.38</v>
      </c>
    </row>
    <row r="103" spans="1:11" s="3" customFormat="1" ht="15" customHeight="1" x14ac:dyDescent="0.25">
      <c r="A103" s="3" t="s">
        <v>296</v>
      </c>
      <c r="B103" s="3" t="s">
        <v>316</v>
      </c>
      <c r="C103" s="3" t="s">
        <v>317</v>
      </c>
      <c r="D103" s="3" t="s">
        <v>318</v>
      </c>
      <c r="E103" s="3" t="s">
        <v>5</v>
      </c>
      <c r="F103" s="3" t="s">
        <v>6</v>
      </c>
      <c r="G103" s="6">
        <v>105783505</v>
      </c>
      <c r="H103" s="6">
        <v>329574.90999999997</v>
      </c>
      <c r="I103" s="6">
        <v>232873.17</v>
      </c>
      <c r="J103" s="6">
        <f t="shared" si="1"/>
        <v>96701.739999999962</v>
      </c>
      <c r="K103" s="3">
        <v>0.31</v>
      </c>
    </row>
    <row r="104" spans="1:11" s="3" customFormat="1" ht="15" customHeight="1" x14ac:dyDescent="0.25">
      <c r="A104" s="3" t="s">
        <v>296</v>
      </c>
      <c r="B104" s="3" t="s">
        <v>80</v>
      </c>
      <c r="C104" s="3" t="s">
        <v>319</v>
      </c>
      <c r="D104" s="3" t="s">
        <v>320</v>
      </c>
      <c r="E104" s="3" t="s">
        <v>5</v>
      </c>
      <c r="F104" s="3" t="s">
        <v>6</v>
      </c>
      <c r="G104" s="6">
        <v>43252994.770000003</v>
      </c>
      <c r="H104" s="6">
        <v>167305.39000000001</v>
      </c>
      <c r="I104" s="6">
        <v>100807.37</v>
      </c>
      <c r="J104" s="6">
        <f t="shared" si="1"/>
        <v>66498.020000000019</v>
      </c>
      <c r="K104" s="3">
        <v>0.38</v>
      </c>
    </row>
    <row r="105" spans="1:11" s="3" customFormat="1" ht="15" customHeight="1" x14ac:dyDescent="0.25">
      <c r="A105" s="3" t="s">
        <v>296</v>
      </c>
      <c r="B105" s="3" t="s">
        <v>321</v>
      </c>
      <c r="C105" s="3" t="s">
        <v>322</v>
      </c>
      <c r="D105" s="3" t="s">
        <v>323</v>
      </c>
      <c r="E105" s="3" t="s">
        <v>5</v>
      </c>
      <c r="F105" s="3" t="s">
        <v>6</v>
      </c>
      <c r="G105" s="6">
        <v>15015937.66</v>
      </c>
      <c r="H105" s="6">
        <v>43517.760000000002</v>
      </c>
      <c r="I105" s="6">
        <v>29499.27</v>
      </c>
      <c r="J105" s="6">
        <f t="shared" si="1"/>
        <v>14018.490000000002</v>
      </c>
      <c r="K105" s="3">
        <v>0.28000000000000003</v>
      </c>
    </row>
    <row r="106" spans="1:11" s="3" customFormat="1" ht="15" customHeight="1" x14ac:dyDescent="0.25">
      <c r="A106" s="3" t="s">
        <v>324</v>
      </c>
      <c r="B106" s="3" t="s">
        <v>17</v>
      </c>
      <c r="C106" s="3" t="s">
        <v>325</v>
      </c>
      <c r="D106" s="3" t="s">
        <v>326</v>
      </c>
      <c r="E106" s="3" t="s">
        <v>5</v>
      </c>
      <c r="F106" s="3" t="s">
        <v>6</v>
      </c>
      <c r="G106" s="6">
        <v>404982998.26999998</v>
      </c>
      <c r="H106" s="6">
        <v>979720.96</v>
      </c>
      <c r="I106" s="6">
        <v>819494.1</v>
      </c>
      <c r="J106" s="6">
        <f t="shared" si="1"/>
        <v>160226.85999999999</v>
      </c>
      <c r="K106" s="3">
        <v>0.24</v>
      </c>
    </row>
    <row r="107" spans="1:11" s="3" customFormat="1" ht="15" customHeight="1" x14ac:dyDescent="0.25">
      <c r="A107" s="3" t="s">
        <v>324</v>
      </c>
      <c r="B107" s="3" t="s">
        <v>327</v>
      </c>
      <c r="C107" s="3" t="s">
        <v>328</v>
      </c>
      <c r="D107" s="3" t="s">
        <v>329</v>
      </c>
      <c r="E107" s="3" t="s">
        <v>5</v>
      </c>
      <c r="F107" s="3" t="s">
        <v>6</v>
      </c>
      <c r="G107" s="6">
        <v>155719961.87</v>
      </c>
      <c r="H107" s="6">
        <v>577006.79</v>
      </c>
      <c r="I107" s="6">
        <v>410292.21</v>
      </c>
      <c r="J107" s="6">
        <f t="shared" si="1"/>
        <v>166714.58000000002</v>
      </c>
      <c r="K107" s="3">
        <v>0.37</v>
      </c>
    </row>
    <row r="108" spans="1:11" s="3" customFormat="1" ht="15" customHeight="1" x14ac:dyDescent="0.25">
      <c r="A108" s="3" t="s">
        <v>324</v>
      </c>
      <c r="B108" s="3" t="s">
        <v>330</v>
      </c>
      <c r="C108" s="3" t="s">
        <v>331</v>
      </c>
      <c r="D108" s="3" t="s">
        <v>332</v>
      </c>
      <c r="E108" s="3" t="s">
        <v>5</v>
      </c>
      <c r="F108" s="3" t="s">
        <v>6</v>
      </c>
      <c r="G108" s="6">
        <v>143314578.47</v>
      </c>
      <c r="H108" s="6">
        <v>461993.5</v>
      </c>
      <c r="I108" s="6">
        <v>343147.45</v>
      </c>
      <c r="J108" s="6">
        <f t="shared" si="1"/>
        <v>118846.04999999999</v>
      </c>
      <c r="K108" s="3">
        <v>0.32</v>
      </c>
    </row>
    <row r="109" spans="1:11" s="3" customFormat="1" ht="15" customHeight="1" x14ac:dyDescent="0.25">
      <c r="A109" s="3" t="s">
        <v>324</v>
      </c>
      <c r="B109" s="3" t="s">
        <v>333</v>
      </c>
      <c r="C109" s="3" t="s">
        <v>334</v>
      </c>
      <c r="D109" s="3" t="s">
        <v>335</v>
      </c>
      <c r="E109" s="3" t="s">
        <v>5</v>
      </c>
      <c r="F109" s="3" t="s">
        <v>6</v>
      </c>
      <c r="G109" s="6">
        <v>110041159.66</v>
      </c>
      <c r="H109" s="6">
        <v>418672.04</v>
      </c>
      <c r="I109" s="6">
        <v>326150.24</v>
      </c>
      <c r="J109" s="6">
        <f t="shared" si="1"/>
        <v>92521.799999999988</v>
      </c>
      <c r="K109" s="3">
        <v>0.38</v>
      </c>
    </row>
    <row r="110" spans="1:11" s="3" customFormat="1" ht="15" customHeight="1" x14ac:dyDescent="0.25">
      <c r="A110" s="3" t="s">
        <v>324</v>
      </c>
      <c r="B110" s="3" t="s">
        <v>336</v>
      </c>
      <c r="C110" s="3" t="s">
        <v>337</v>
      </c>
      <c r="D110" s="3" t="s">
        <v>338</v>
      </c>
      <c r="E110" s="3" t="s">
        <v>234</v>
      </c>
      <c r="F110" s="3" t="s">
        <v>6</v>
      </c>
      <c r="G110" s="6">
        <v>20101896.010000002</v>
      </c>
      <c r="H110" s="6">
        <v>57694.92</v>
      </c>
      <c r="I110" s="6">
        <v>42262.239999999998</v>
      </c>
      <c r="J110" s="6">
        <f t="shared" si="1"/>
        <v>15432.68</v>
      </c>
      <c r="K110" s="3">
        <v>0.28000000000000003</v>
      </c>
    </row>
    <row r="111" spans="1:11" s="3" customFormat="1" ht="15" customHeight="1" x14ac:dyDescent="0.25">
      <c r="A111" s="3" t="s">
        <v>324</v>
      </c>
      <c r="B111" s="3" t="s">
        <v>339</v>
      </c>
      <c r="C111" s="3" t="s">
        <v>340</v>
      </c>
      <c r="D111" s="3" t="s">
        <v>341</v>
      </c>
      <c r="E111" s="3" t="s">
        <v>5</v>
      </c>
      <c r="F111" s="3" t="s">
        <v>6</v>
      </c>
      <c r="G111" s="6">
        <v>5964798.9900000002</v>
      </c>
      <c r="H111" s="6">
        <v>48895.61</v>
      </c>
      <c r="I111" s="6">
        <v>26319.07</v>
      </c>
      <c r="J111" s="6">
        <f t="shared" si="1"/>
        <v>22576.54</v>
      </c>
      <c r="K111" s="3">
        <v>0.81</v>
      </c>
    </row>
    <row r="112" spans="1:11" s="3" customFormat="1" ht="15" customHeight="1" x14ac:dyDescent="0.25">
      <c r="A112" s="3" t="s">
        <v>324</v>
      </c>
      <c r="B112" s="3" t="s">
        <v>342</v>
      </c>
      <c r="C112" s="3" t="s">
        <v>343</v>
      </c>
      <c r="D112" s="3" t="s">
        <v>344</v>
      </c>
      <c r="E112" s="3" t="s">
        <v>5</v>
      </c>
      <c r="F112" s="3" t="s">
        <v>6</v>
      </c>
      <c r="G112" s="6">
        <v>1622098.15</v>
      </c>
      <c r="H112" s="6">
        <v>3579.6</v>
      </c>
      <c r="I112" s="6">
        <v>1040.3699999999999</v>
      </c>
      <c r="J112" s="6">
        <f t="shared" si="1"/>
        <v>2539.23</v>
      </c>
      <c r="K112" s="3">
        <v>0.22</v>
      </c>
    </row>
    <row r="113" spans="1:11" s="3" customFormat="1" ht="15" customHeight="1" x14ac:dyDescent="0.25">
      <c r="A113" s="3" t="s">
        <v>345</v>
      </c>
      <c r="B113" s="3" t="s">
        <v>346</v>
      </c>
      <c r="C113" s="3" t="s">
        <v>345</v>
      </c>
      <c r="D113" s="3" t="s">
        <v>347</v>
      </c>
      <c r="E113" s="3" t="s">
        <v>347</v>
      </c>
      <c r="F113" s="3" t="s">
        <v>6</v>
      </c>
      <c r="G113" s="6">
        <v>2983183940.8800001</v>
      </c>
      <c r="H113" s="6">
        <v>3858708.8</v>
      </c>
      <c r="I113" s="6">
        <v>2893.02</v>
      </c>
      <c r="J113" s="6">
        <f t="shared" si="1"/>
        <v>3855815.78</v>
      </c>
      <c r="K113" s="3">
        <v>0.12</v>
      </c>
    </row>
    <row r="114" spans="1:11" s="3" customFormat="1" ht="15" customHeight="1" x14ac:dyDescent="0.25">
      <c r="A114" s="3" t="s">
        <v>345</v>
      </c>
      <c r="B114" s="3" t="s">
        <v>348</v>
      </c>
      <c r="C114" s="3" t="s">
        <v>349</v>
      </c>
      <c r="D114" s="3" t="s">
        <v>350</v>
      </c>
      <c r="E114" s="3" t="s">
        <v>351</v>
      </c>
      <c r="F114" s="3" t="s">
        <v>6</v>
      </c>
      <c r="G114" s="6">
        <v>384003132.85000002</v>
      </c>
      <c r="H114" s="6">
        <v>1252031.26</v>
      </c>
      <c r="I114" s="6">
        <v>1001900.52</v>
      </c>
      <c r="J114" s="6">
        <f t="shared" si="1"/>
        <v>250130.74</v>
      </c>
      <c r="K114" s="3">
        <v>0.32</v>
      </c>
    </row>
    <row r="115" spans="1:11" s="3" customFormat="1" ht="15" customHeight="1" x14ac:dyDescent="0.25">
      <c r="A115" s="3" t="s">
        <v>345</v>
      </c>
      <c r="B115" s="3" t="s">
        <v>352</v>
      </c>
      <c r="C115" s="3" t="s">
        <v>353</v>
      </c>
      <c r="D115" s="3" t="s">
        <v>354</v>
      </c>
      <c r="E115" s="3" t="s">
        <v>355</v>
      </c>
      <c r="F115" s="3" t="s">
        <v>6</v>
      </c>
      <c r="G115" s="6">
        <v>13064662.43</v>
      </c>
      <c r="H115" s="6">
        <v>9597.01</v>
      </c>
      <c r="I115" s="6">
        <v>6238.07</v>
      </c>
      <c r="J115" s="6">
        <f t="shared" si="1"/>
        <v>3358.9400000000005</v>
      </c>
      <c r="K115" s="3">
        <v>7.0000000000000007E-2</v>
      </c>
    </row>
    <row r="116" spans="1:11" s="3" customFormat="1" ht="15" customHeight="1" x14ac:dyDescent="0.25">
      <c r="A116" s="3" t="s">
        <v>356</v>
      </c>
      <c r="B116" s="3" t="s">
        <v>258</v>
      </c>
      <c r="C116" s="3" t="s">
        <v>356</v>
      </c>
      <c r="D116" s="3" t="s">
        <v>357</v>
      </c>
      <c r="E116" s="3" t="s">
        <v>358</v>
      </c>
      <c r="F116" s="3" t="s">
        <v>6</v>
      </c>
      <c r="G116" s="6">
        <v>3512355305.2800002</v>
      </c>
      <c r="H116" s="6">
        <v>2690612.03</v>
      </c>
      <c r="I116" s="6">
        <v>0</v>
      </c>
      <c r="J116" s="6">
        <f t="shared" si="1"/>
        <v>2690612.03</v>
      </c>
      <c r="K116" s="3">
        <v>7.0000000000000007E-2</v>
      </c>
    </row>
    <row r="117" spans="1:11" s="3" customFormat="1" ht="15" customHeight="1" x14ac:dyDescent="0.25">
      <c r="A117" s="3" t="s">
        <v>356</v>
      </c>
      <c r="B117" s="3" t="s">
        <v>359</v>
      </c>
      <c r="C117" s="3" t="s">
        <v>360</v>
      </c>
      <c r="D117" s="3" t="s">
        <v>361</v>
      </c>
      <c r="E117" s="3" t="s">
        <v>358</v>
      </c>
      <c r="F117" s="3" t="s">
        <v>6</v>
      </c>
      <c r="G117" s="6">
        <v>279752740.81999999</v>
      </c>
      <c r="H117" s="6">
        <v>410999.74</v>
      </c>
      <c r="I117" s="6">
        <v>287700.84000000003</v>
      </c>
      <c r="J117" s="6">
        <f t="shared" si="1"/>
        <v>123298.89999999997</v>
      </c>
      <c r="K117" s="3">
        <v>0.14000000000000001</v>
      </c>
    </row>
    <row r="118" spans="1:11" s="3" customFormat="1" ht="15" customHeight="1" x14ac:dyDescent="0.25">
      <c r="A118" s="3" t="s">
        <v>362</v>
      </c>
      <c r="B118" s="3" t="s">
        <v>17</v>
      </c>
      <c r="C118" s="3" t="s">
        <v>363</v>
      </c>
      <c r="D118" s="3" t="s">
        <v>364</v>
      </c>
      <c r="E118" s="3" t="s">
        <v>362</v>
      </c>
      <c r="F118" s="3" t="s">
        <v>6</v>
      </c>
      <c r="G118" s="6">
        <v>1592314703.76</v>
      </c>
      <c r="H118" s="6">
        <v>2500156.31</v>
      </c>
      <c r="I118" s="6">
        <v>2171503.09</v>
      </c>
      <c r="J118" s="6">
        <f t="shared" si="1"/>
        <v>328653.2200000002</v>
      </c>
      <c r="K118" s="3">
        <v>0.15</v>
      </c>
    </row>
    <row r="119" spans="1:11" s="3" customFormat="1" ht="15" customHeight="1" x14ac:dyDescent="0.25">
      <c r="A119" s="3" t="s">
        <v>362</v>
      </c>
      <c r="B119" s="3" t="s">
        <v>365</v>
      </c>
      <c r="C119" s="3" t="s">
        <v>366</v>
      </c>
      <c r="D119" s="3" t="s">
        <v>367</v>
      </c>
      <c r="E119" s="3" t="s">
        <v>362</v>
      </c>
      <c r="F119" s="3" t="s">
        <v>6</v>
      </c>
      <c r="G119" s="6">
        <v>484984622.04000002</v>
      </c>
      <c r="H119" s="6">
        <v>1571400.48</v>
      </c>
      <c r="I119" s="6">
        <v>1145759.98</v>
      </c>
      <c r="J119" s="6">
        <f t="shared" si="1"/>
        <v>425640.5</v>
      </c>
      <c r="K119" s="3">
        <v>0.32</v>
      </c>
    </row>
    <row r="120" spans="1:11" s="3" customFormat="1" ht="15" customHeight="1" x14ac:dyDescent="0.25">
      <c r="A120" s="3" t="s">
        <v>362</v>
      </c>
      <c r="B120" s="3" t="s">
        <v>368</v>
      </c>
      <c r="C120" s="3" t="s">
        <v>369</v>
      </c>
      <c r="D120" s="3" t="s">
        <v>370</v>
      </c>
      <c r="E120" s="3" t="s">
        <v>362</v>
      </c>
      <c r="F120" s="3" t="s">
        <v>6</v>
      </c>
      <c r="G120" s="6">
        <v>64623562.840000004</v>
      </c>
      <c r="H120" s="6">
        <v>207036.22</v>
      </c>
      <c r="I120" s="6">
        <v>121172.63</v>
      </c>
      <c r="J120" s="6">
        <f t="shared" si="1"/>
        <v>85863.59</v>
      </c>
      <c r="K120" s="3">
        <v>0.32</v>
      </c>
    </row>
    <row r="121" spans="1:11" s="3" customFormat="1" ht="15" customHeight="1" x14ac:dyDescent="0.25">
      <c r="A121" s="3" t="s">
        <v>362</v>
      </c>
      <c r="B121" s="3" t="s">
        <v>371</v>
      </c>
      <c r="C121" s="3" t="s">
        <v>372</v>
      </c>
      <c r="D121" s="3" t="s">
        <v>373</v>
      </c>
      <c r="E121" s="3" t="s">
        <v>362</v>
      </c>
      <c r="F121" s="3" t="s">
        <v>6</v>
      </c>
      <c r="G121" s="6">
        <v>20793307.649999999</v>
      </c>
      <c r="H121" s="6">
        <v>93539.82</v>
      </c>
      <c r="I121" s="6">
        <v>58151.73</v>
      </c>
      <c r="J121" s="6">
        <f t="shared" si="1"/>
        <v>35388.090000000004</v>
      </c>
      <c r="K121" s="3">
        <v>0.44</v>
      </c>
    </row>
    <row r="122" spans="1:11" s="3" customFormat="1" ht="15" customHeight="1" x14ac:dyDescent="0.25">
      <c r="A122" s="3" t="s">
        <v>362</v>
      </c>
      <c r="B122" s="3" t="s">
        <v>374</v>
      </c>
      <c r="C122" s="3" t="s">
        <v>375</v>
      </c>
      <c r="D122" s="3" t="s">
        <v>376</v>
      </c>
      <c r="E122" s="3" t="s">
        <v>362</v>
      </c>
      <c r="F122" s="3" t="s">
        <v>6</v>
      </c>
      <c r="G122" s="6">
        <v>14908729.99</v>
      </c>
      <c r="H122" s="6">
        <v>49558.79</v>
      </c>
      <c r="I122" s="6">
        <v>29612.52</v>
      </c>
      <c r="J122" s="6">
        <f t="shared" si="1"/>
        <v>19946.27</v>
      </c>
      <c r="K122" s="3">
        <v>0.33</v>
      </c>
    </row>
    <row r="123" spans="1:11" s="3" customFormat="1" ht="15" customHeight="1" x14ac:dyDescent="0.25">
      <c r="A123" s="3" t="s">
        <v>362</v>
      </c>
      <c r="B123" s="3" t="s">
        <v>377</v>
      </c>
      <c r="C123" s="3" t="s">
        <v>378</v>
      </c>
      <c r="D123" s="3" t="s">
        <v>379</v>
      </c>
      <c r="E123" s="3" t="s">
        <v>362</v>
      </c>
      <c r="F123" s="3" t="s">
        <v>6</v>
      </c>
      <c r="G123" s="6">
        <v>10638142.1</v>
      </c>
      <c r="H123" s="6">
        <v>25541.08</v>
      </c>
      <c r="I123" s="6">
        <v>13263.43</v>
      </c>
      <c r="J123" s="6">
        <f t="shared" si="1"/>
        <v>12277.650000000001</v>
      </c>
      <c r="K123" s="3">
        <v>0.24</v>
      </c>
    </row>
    <row r="124" spans="1:11" s="3" customFormat="1" ht="15" customHeight="1" x14ac:dyDescent="0.25">
      <c r="A124" s="3" t="s">
        <v>362</v>
      </c>
      <c r="B124" s="3" t="s">
        <v>380</v>
      </c>
      <c r="C124" s="3" t="s">
        <v>381</v>
      </c>
      <c r="D124" s="3" t="s">
        <v>382</v>
      </c>
      <c r="E124" s="3" t="s">
        <v>362</v>
      </c>
      <c r="F124" s="3" t="s">
        <v>6</v>
      </c>
      <c r="G124" s="6">
        <v>9093730.9600000009</v>
      </c>
      <c r="H124" s="6">
        <v>33236.44</v>
      </c>
      <c r="I124" s="6">
        <v>18077</v>
      </c>
      <c r="J124" s="6">
        <f t="shared" si="1"/>
        <v>15159.440000000002</v>
      </c>
      <c r="K124" s="3">
        <v>0.36</v>
      </c>
    </row>
    <row r="125" spans="1:11" s="3" customFormat="1" ht="15" customHeight="1" x14ac:dyDescent="0.25">
      <c r="A125" s="3" t="s">
        <v>362</v>
      </c>
      <c r="B125" s="3" t="s">
        <v>383</v>
      </c>
      <c r="C125" s="3" t="s">
        <v>384</v>
      </c>
      <c r="D125" s="3" t="s">
        <v>385</v>
      </c>
      <c r="E125" s="3" t="s">
        <v>362</v>
      </c>
      <c r="F125" s="3" t="s">
        <v>6</v>
      </c>
      <c r="G125" s="6">
        <v>869477.04</v>
      </c>
      <c r="H125" s="6">
        <v>4489.1899999999996</v>
      </c>
      <c r="I125" s="6">
        <v>3112.35</v>
      </c>
      <c r="J125" s="6">
        <f t="shared" si="1"/>
        <v>1376.8399999999997</v>
      </c>
      <c r="K125" s="3">
        <v>0.51</v>
      </c>
    </row>
    <row r="126" spans="1:11" s="3" customFormat="1" ht="15" customHeight="1" x14ac:dyDescent="0.25">
      <c r="A126" s="3" t="s">
        <v>386</v>
      </c>
      <c r="B126" s="3" t="s">
        <v>387</v>
      </c>
      <c r="C126" s="3" t="s">
        <v>386</v>
      </c>
      <c r="D126" s="3" t="s">
        <v>388</v>
      </c>
      <c r="E126" s="3" t="s">
        <v>389</v>
      </c>
      <c r="F126" s="3" t="s">
        <v>6</v>
      </c>
      <c r="G126" s="6">
        <v>553343922.19000006</v>
      </c>
      <c r="H126" s="6">
        <v>686314.71</v>
      </c>
      <c r="I126" s="6">
        <v>0</v>
      </c>
      <c r="J126" s="6">
        <f t="shared" si="1"/>
        <v>686314.71</v>
      </c>
      <c r="K126" s="3">
        <v>0.12</v>
      </c>
    </row>
    <row r="127" spans="1:11" s="3" customFormat="1" ht="15" customHeight="1" x14ac:dyDescent="0.25">
      <c r="A127" s="3" t="s">
        <v>390</v>
      </c>
      <c r="B127" s="3" t="s">
        <v>391</v>
      </c>
      <c r="C127" s="3" t="s">
        <v>390</v>
      </c>
      <c r="D127" s="3" t="s">
        <v>392</v>
      </c>
      <c r="E127" s="3" t="s">
        <v>393</v>
      </c>
      <c r="F127" s="3" t="s">
        <v>6</v>
      </c>
      <c r="G127" s="6">
        <v>497329202.63999999</v>
      </c>
      <c r="H127" s="6">
        <v>1094622.8600000001</v>
      </c>
      <c r="I127" s="6">
        <v>0</v>
      </c>
      <c r="J127" s="6">
        <f t="shared" si="1"/>
        <v>1094622.8600000001</v>
      </c>
      <c r="K127" s="3">
        <v>0.22</v>
      </c>
    </row>
    <row r="128" spans="1:11" s="3" customFormat="1" ht="15" customHeight="1" x14ac:dyDescent="0.25">
      <c r="A128" s="3" t="s">
        <v>394</v>
      </c>
      <c r="B128" s="3" t="s">
        <v>395</v>
      </c>
      <c r="C128" s="3" t="s">
        <v>394</v>
      </c>
      <c r="D128" s="3" t="s">
        <v>396</v>
      </c>
      <c r="E128" s="3" t="s">
        <v>347</v>
      </c>
      <c r="F128" s="3" t="s">
        <v>6</v>
      </c>
      <c r="G128" s="6">
        <v>683073717.33000004</v>
      </c>
      <c r="H128" s="6">
        <v>618856.05000000005</v>
      </c>
      <c r="I128" s="6">
        <v>1214.0899999999999</v>
      </c>
      <c r="J128" s="6">
        <f t="shared" si="1"/>
        <v>617641.96000000008</v>
      </c>
      <c r="K128" s="3">
        <v>0.09</v>
      </c>
    </row>
    <row r="129" spans="1:11" s="3" customFormat="1" ht="15" customHeight="1" x14ac:dyDescent="0.25">
      <c r="A129" s="3" t="s">
        <v>394</v>
      </c>
      <c r="B129" s="3" t="s">
        <v>397</v>
      </c>
      <c r="C129" s="3" t="s">
        <v>398</v>
      </c>
      <c r="D129" s="3" t="s">
        <v>399</v>
      </c>
      <c r="E129" s="3" t="s">
        <v>351</v>
      </c>
      <c r="F129" s="3" t="s">
        <v>6</v>
      </c>
      <c r="G129" s="6">
        <v>19680846.149999999</v>
      </c>
      <c r="H129" s="6">
        <v>32483.46</v>
      </c>
      <c r="I129" s="6">
        <v>12993.38</v>
      </c>
      <c r="J129" s="6">
        <f t="shared" si="1"/>
        <v>19490.080000000002</v>
      </c>
      <c r="K129" s="3">
        <v>0.16</v>
      </c>
    </row>
    <row r="130" spans="1:11" s="3" customFormat="1" ht="15" customHeight="1" x14ac:dyDescent="0.25">
      <c r="A130" s="3" t="s">
        <v>394</v>
      </c>
      <c r="B130" s="3" t="s">
        <v>400</v>
      </c>
      <c r="C130" s="3" t="s">
        <v>401</v>
      </c>
      <c r="D130" s="3" t="s">
        <v>402</v>
      </c>
      <c r="E130" s="3" t="s">
        <v>351</v>
      </c>
      <c r="F130" s="3" t="s">
        <v>6</v>
      </c>
      <c r="G130" s="6">
        <v>1272257.73</v>
      </c>
      <c r="H130" s="6">
        <v>12027.44</v>
      </c>
      <c r="I130" s="6">
        <v>8419.24</v>
      </c>
      <c r="J130" s="6">
        <f t="shared" si="1"/>
        <v>3608.2000000000007</v>
      </c>
      <c r="K130" s="3">
        <v>0.94</v>
      </c>
    </row>
    <row r="131" spans="1:11" s="3" customFormat="1" ht="15" customHeight="1" x14ac:dyDescent="0.25">
      <c r="A131" s="3" t="s">
        <v>403</v>
      </c>
      <c r="B131" s="3" t="s">
        <v>404</v>
      </c>
      <c r="C131" s="3" t="s">
        <v>405</v>
      </c>
      <c r="D131" s="3" t="s">
        <v>406</v>
      </c>
      <c r="E131" s="3" t="s">
        <v>407</v>
      </c>
      <c r="F131" s="3" t="s">
        <v>6</v>
      </c>
      <c r="G131" s="6">
        <v>13628310862.870001</v>
      </c>
      <c r="H131" s="6">
        <v>1630101.37</v>
      </c>
      <c r="I131" s="6">
        <v>163674.97</v>
      </c>
      <c r="J131" s="6">
        <f t="shared" si="1"/>
        <v>1466426.4000000001</v>
      </c>
      <c r="K131" s="3">
        <v>0.01</v>
      </c>
    </row>
    <row r="132" spans="1:11" s="3" customFormat="1" ht="15" customHeight="1" x14ac:dyDescent="0.25">
      <c r="A132" s="3" t="s">
        <v>403</v>
      </c>
      <c r="B132" s="3" t="s">
        <v>17</v>
      </c>
      <c r="C132" s="3" t="s">
        <v>408</v>
      </c>
      <c r="D132" s="3" t="s">
        <v>409</v>
      </c>
      <c r="E132" s="3" t="s">
        <v>407</v>
      </c>
      <c r="F132" s="3" t="s">
        <v>6</v>
      </c>
      <c r="G132" s="6">
        <v>10841601000.73</v>
      </c>
      <c r="H132" s="6">
        <v>5123425.99</v>
      </c>
      <c r="I132" s="6">
        <v>3206823.46</v>
      </c>
      <c r="J132" s="6">
        <f t="shared" ref="J132:J195" si="2">H132-I132</f>
        <v>1916602.5300000003</v>
      </c>
      <c r="K132" s="3">
        <v>0.04</v>
      </c>
    </row>
    <row r="133" spans="1:11" s="3" customFormat="1" ht="15" customHeight="1" x14ac:dyDescent="0.25">
      <c r="A133" s="3" t="s">
        <v>403</v>
      </c>
      <c r="B133" s="3" t="s">
        <v>17</v>
      </c>
      <c r="C133" s="3" t="s">
        <v>403</v>
      </c>
      <c r="D133" s="3" t="s">
        <v>410</v>
      </c>
      <c r="E133" s="3" t="s">
        <v>407</v>
      </c>
      <c r="F133" s="3" t="s">
        <v>6</v>
      </c>
      <c r="G133" s="6">
        <v>8726347922.7399998</v>
      </c>
      <c r="H133" s="6">
        <v>7663115.3200000003</v>
      </c>
      <c r="I133" s="6">
        <v>0</v>
      </c>
      <c r="J133" s="6">
        <f t="shared" si="2"/>
        <v>7663115.3200000003</v>
      </c>
      <c r="K133" s="3">
        <v>0.08</v>
      </c>
    </row>
    <row r="134" spans="1:11" s="3" customFormat="1" ht="15" customHeight="1" x14ac:dyDescent="0.25">
      <c r="A134" s="3" t="s">
        <v>403</v>
      </c>
      <c r="B134" s="3" t="s">
        <v>411</v>
      </c>
      <c r="C134" s="3" t="s">
        <v>412</v>
      </c>
      <c r="D134" s="3" t="s">
        <v>413</v>
      </c>
      <c r="E134" s="3" t="s">
        <v>407</v>
      </c>
      <c r="F134" s="3" t="s">
        <v>6</v>
      </c>
      <c r="G134" s="6">
        <v>3576258173.5</v>
      </c>
      <c r="H134" s="6">
        <v>3569769.76</v>
      </c>
      <c r="I134" s="6">
        <v>2315321.89</v>
      </c>
      <c r="J134" s="6">
        <f t="shared" si="2"/>
        <v>1254447.8699999996</v>
      </c>
      <c r="K134" s="3">
        <v>0.09</v>
      </c>
    </row>
    <row r="135" spans="1:11" s="3" customFormat="1" ht="15" customHeight="1" x14ac:dyDescent="0.25">
      <c r="A135" s="3" t="s">
        <v>403</v>
      </c>
      <c r="B135" s="3" t="s">
        <v>414</v>
      </c>
      <c r="C135" s="3" t="s">
        <v>415</v>
      </c>
      <c r="D135" s="3" t="s">
        <v>416</v>
      </c>
      <c r="E135" s="3" t="s">
        <v>407</v>
      </c>
      <c r="F135" s="3" t="s">
        <v>6</v>
      </c>
      <c r="G135" s="6">
        <v>3162182769.0799999</v>
      </c>
      <c r="H135" s="6">
        <v>5186835.5599999996</v>
      </c>
      <c r="I135" s="6">
        <v>3273040.82</v>
      </c>
      <c r="J135" s="6">
        <f t="shared" si="2"/>
        <v>1913794.7399999998</v>
      </c>
      <c r="K135" s="3">
        <v>0.16</v>
      </c>
    </row>
    <row r="136" spans="1:11" s="3" customFormat="1" ht="15" customHeight="1" x14ac:dyDescent="0.25">
      <c r="A136" s="3" t="s">
        <v>403</v>
      </c>
      <c r="B136" s="3" t="s">
        <v>417</v>
      </c>
      <c r="C136" s="3" t="s">
        <v>418</v>
      </c>
      <c r="D136" s="3" t="s">
        <v>419</v>
      </c>
      <c r="E136" s="3" t="s">
        <v>407</v>
      </c>
      <c r="F136" s="3" t="s">
        <v>6</v>
      </c>
      <c r="G136" s="6">
        <v>2889682018.3000002</v>
      </c>
      <c r="H136" s="6">
        <v>1043004.49</v>
      </c>
      <c r="I136" s="6">
        <v>391444.15</v>
      </c>
      <c r="J136" s="6">
        <f t="shared" si="2"/>
        <v>651560.34</v>
      </c>
      <c r="K136" s="3">
        <v>0.03</v>
      </c>
    </row>
    <row r="137" spans="1:11" s="3" customFormat="1" ht="15" customHeight="1" x14ac:dyDescent="0.25">
      <c r="A137" s="3" t="s">
        <v>403</v>
      </c>
      <c r="B137" s="3" t="s">
        <v>420</v>
      </c>
      <c r="C137" s="3" t="s">
        <v>421</v>
      </c>
      <c r="D137" s="3" t="s">
        <v>422</v>
      </c>
      <c r="E137" s="3" t="s">
        <v>407</v>
      </c>
      <c r="F137" s="3" t="s">
        <v>6</v>
      </c>
      <c r="G137" s="6">
        <v>2037937996.22</v>
      </c>
      <c r="H137" s="6">
        <v>2363856.92</v>
      </c>
      <c r="I137" s="6">
        <v>1560623.53</v>
      </c>
      <c r="J137" s="6">
        <f t="shared" si="2"/>
        <v>803233.3899999999</v>
      </c>
      <c r="K137" s="3">
        <v>0.11</v>
      </c>
    </row>
    <row r="138" spans="1:11" s="3" customFormat="1" ht="15" customHeight="1" x14ac:dyDescent="0.25">
      <c r="A138" s="3" t="s">
        <v>403</v>
      </c>
      <c r="B138" s="3" t="s">
        <v>423</v>
      </c>
      <c r="C138" s="3" t="s">
        <v>424</v>
      </c>
      <c r="D138" s="3" t="s">
        <v>425</v>
      </c>
      <c r="E138" s="3" t="s">
        <v>407</v>
      </c>
      <c r="F138" s="3" t="s">
        <v>6</v>
      </c>
      <c r="G138" s="6">
        <v>1951213623.7</v>
      </c>
      <c r="H138" s="6">
        <v>6822117.2999999998</v>
      </c>
      <c r="I138" s="6">
        <v>5668007.9199999999</v>
      </c>
      <c r="J138" s="6">
        <f t="shared" si="2"/>
        <v>1154109.3799999999</v>
      </c>
      <c r="K138" s="3">
        <v>0.34</v>
      </c>
    </row>
    <row r="139" spans="1:11" s="3" customFormat="1" ht="15" customHeight="1" x14ac:dyDescent="0.25">
      <c r="A139" s="3" t="s">
        <v>403</v>
      </c>
      <c r="B139" s="3" t="s">
        <v>17</v>
      </c>
      <c r="C139" s="3" t="s">
        <v>426</v>
      </c>
      <c r="D139" s="3" t="s">
        <v>427</v>
      </c>
      <c r="E139" s="3" t="s">
        <v>407</v>
      </c>
      <c r="F139" s="3" t="s">
        <v>6</v>
      </c>
      <c r="G139" s="6">
        <v>1884948042.8900001</v>
      </c>
      <c r="H139" s="6">
        <v>1712877.48</v>
      </c>
      <c r="I139" s="6">
        <v>1460547.92</v>
      </c>
      <c r="J139" s="6">
        <f t="shared" si="2"/>
        <v>252329.56000000006</v>
      </c>
      <c r="K139" s="3">
        <v>0.09</v>
      </c>
    </row>
    <row r="140" spans="1:11" s="3" customFormat="1" ht="15" customHeight="1" x14ac:dyDescent="0.25">
      <c r="A140" s="3" t="s">
        <v>403</v>
      </c>
      <c r="B140" s="3" t="s">
        <v>428</v>
      </c>
      <c r="C140" s="3" t="s">
        <v>429</v>
      </c>
      <c r="D140" s="3" t="s">
        <v>430</v>
      </c>
      <c r="E140" s="3" t="s">
        <v>407</v>
      </c>
      <c r="F140" s="3" t="s">
        <v>6</v>
      </c>
      <c r="G140" s="6">
        <v>1419834604.75</v>
      </c>
      <c r="H140" s="6">
        <v>881710.89</v>
      </c>
      <c r="I140" s="6">
        <v>426663.58</v>
      </c>
      <c r="J140" s="6">
        <f t="shared" si="2"/>
        <v>455047.31</v>
      </c>
      <c r="K140" s="3">
        <v>0.06</v>
      </c>
    </row>
    <row r="141" spans="1:11" s="3" customFormat="1" ht="15" customHeight="1" x14ac:dyDescent="0.25">
      <c r="A141" s="3" t="s">
        <v>403</v>
      </c>
      <c r="B141" s="3" t="s">
        <v>431</v>
      </c>
      <c r="C141" s="3" t="s">
        <v>432</v>
      </c>
      <c r="D141" s="3" t="s">
        <v>433</v>
      </c>
      <c r="E141" s="3" t="s">
        <v>407</v>
      </c>
      <c r="F141" s="3" t="s">
        <v>6</v>
      </c>
      <c r="G141" s="6">
        <v>1375697807.4000001</v>
      </c>
      <c r="H141" s="6">
        <v>1478494.75</v>
      </c>
      <c r="I141" s="6">
        <v>974632.32</v>
      </c>
      <c r="J141" s="6">
        <f t="shared" si="2"/>
        <v>503862.43000000005</v>
      </c>
      <c r="K141" s="3">
        <v>0.1</v>
      </c>
    </row>
    <row r="142" spans="1:11" s="3" customFormat="1" ht="15" customHeight="1" x14ac:dyDescent="0.25">
      <c r="A142" s="3" t="s">
        <v>403</v>
      </c>
      <c r="B142" s="3" t="s">
        <v>434</v>
      </c>
      <c r="C142" s="3" t="s">
        <v>435</v>
      </c>
      <c r="D142" s="3" t="s">
        <v>436</v>
      </c>
      <c r="E142" s="3" t="s">
        <v>407</v>
      </c>
      <c r="F142" s="3" t="s">
        <v>6</v>
      </c>
      <c r="G142" s="6">
        <v>1294987534.51</v>
      </c>
      <c r="H142" s="6">
        <v>1943688.67</v>
      </c>
      <c r="I142" s="6">
        <v>1296480.1000000001</v>
      </c>
      <c r="J142" s="6">
        <f t="shared" si="2"/>
        <v>647208.56999999983</v>
      </c>
      <c r="K142" s="3">
        <v>0.15</v>
      </c>
    </row>
    <row r="143" spans="1:11" s="3" customFormat="1" ht="15" customHeight="1" x14ac:dyDescent="0.25">
      <c r="A143" s="3" t="s">
        <v>403</v>
      </c>
      <c r="B143" s="3" t="s">
        <v>437</v>
      </c>
      <c r="C143" s="3" t="s">
        <v>438</v>
      </c>
      <c r="D143" s="3" t="s">
        <v>439</v>
      </c>
      <c r="E143" s="3" t="s">
        <v>407</v>
      </c>
      <c r="F143" s="3" t="s">
        <v>6</v>
      </c>
      <c r="G143" s="6">
        <v>1114236082.6900001</v>
      </c>
      <c r="H143" s="6">
        <v>1971674.32</v>
      </c>
      <c r="I143" s="6">
        <v>1088100.1200000001</v>
      </c>
      <c r="J143" s="6">
        <f t="shared" si="2"/>
        <v>883574.2</v>
      </c>
      <c r="K143" s="3">
        <v>0.17</v>
      </c>
    </row>
    <row r="144" spans="1:11" s="3" customFormat="1" ht="15" customHeight="1" x14ac:dyDescent="0.25">
      <c r="A144" s="3" t="s">
        <v>403</v>
      </c>
      <c r="B144" s="3" t="s">
        <v>440</v>
      </c>
      <c r="C144" s="3" t="s">
        <v>441</v>
      </c>
      <c r="D144" s="3" t="s">
        <v>442</v>
      </c>
      <c r="E144" s="3" t="s">
        <v>407</v>
      </c>
      <c r="F144" s="3" t="s">
        <v>6</v>
      </c>
      <c r="G144" s="6">
        <v>775986417.91999996</v>
      </c>
      <c r="H144" s="6">
        <v>1067986.96</v>
      </c>
      <c r="I144" s="6">
        <v>737839.27</v>
      </c>
      <c r="J144" s="6">
        <f t="shared" si="2"/>
        <v>330147.68999999994</v>
      </c>
      <c r="K144" s="3">
        <v>0.13</v>
      </c>
    </row>
    <row r="145" spans="1:11" s="3" customFormat="1" ht="15" customHeight="1" x14ac:dyDescent="0.25">
      <c r="A145" s="3" t="s">
        <v>403</v>
      </c>
      <c r="B145" s="3" t="s">
        <v>443</v>
      </c>
      <c r="C145" s="3" t="s">
        <v>444</v>
      </c>
      <c r="D145" s="3" t="s">
        <v>445</v>
      </c>
      <c r="E145" s="3" t="s">
        <v>407</v>
      </c>
      <c r="F145" s="3" t="s">
        <v>6</v>
      </c>
      <c r="G145" s="6">
        <v>690415424.28999996</v>
      </c>
      <c r="H145" s="6">
        <v>1563937.24</v>
      </c>
      <c r="I145" s="6">
        <v>1103730.6499999999</v>
      </c>
      <c r="J145" s="6">
        <f t="shared" si="2"/>
        <v>460206.59000000008</v>
      </c>
      <c r="K145" s="3">
        <v>0.22</v>
      </c>
    </row>
    <row r="146" spans="1:11" s="3" customFormat="1" ht="15" customHeight="1" x14ac:dyDescent="0.25">
      <c r="A146" s="3" t="s">
        <v>403</v>
      </c>
      <c r="B146" s="3" t="s">
        <v>17</v>
      </c>
      <c r="C146" s="3" t="s">
        <v>446</v>
      </c>
      <c r="D146" s="3" t="s">
        <v>447</v>
      </c>
      <c r="E146" s="3" t="s">
        <v>407</v>
      </c>
      <c r="F146" s="3" t="s">
        <v>6</v>
      </c>
      <c r="G146" s="6">
        <v>534873440.12</v>
      </c>
      <c r="H146" s="6">
        <v>777345.46</v>
      </c>
      <c r="I146" s="6">
        <v>530950.53</v>
      </c>
      <c r="J146" s="6">
        <f t="shared" si="2"/>
        <v>246394.92999999993</v>
      </c>
      <c r="K146" s="3">
        <v>0.14000000000000001</v>
      </c>
    </row>
    <row r="147" spans="1:11" s="3" customFormat="1" ht="15" customHeight="1" x14ac:dyDescent="0.25">
      <c r="A147" s="3" t="s">
        <v>403</v>
      </c>
      <c r="B147" s="3" t="s">
        <v>448</v>
      </c>
      <c r="C147" s="3" t="s">
        <v>449</v>
      </c>
      <c r="D147" s="3" t="s">
        <v>450</v>
      </c>
      <c r="E147" s="3" t="s">
        <v>407</v>
      </c>
      <c r="F147" s="3" t="s">
        <v>6</v>
      </c>
      <c r="G147" s="6">
        <v>529697699.95999998</v>
      </c>
      <c r="H147" s="6">
        <v>1461964.83</v>
      </c>
      <c r="I147" s="6">
        <v>1015723.99</v>
      </c>
      <c r="J147" s="6">
        <f t="shared" si="2"/>
        <v>446240.84000000008</v>
      </c>
      <c r="K147" s="3">
        <v>0.27</v>
      </c>
    </row>
    <row r="148" spans="1:11" s="3" customFormat="1" ht="15" customHeight="1" x14ac:dyDescent="0.25">
      <c r="A148" s="3" t="s">
        <v>403</v>
      </c>
      <c r="B148" s="3" t="s">
        <v>451</v>
      </c>
      <c r="C148" s="3" t="s">
        <v>452</v>
      </c>
      <c r="D148" s="3" t="s">
        <v>447</v>
      </c>
      <c r="E148" s="3" t="s">
        <v>407</v>
      </c>
      <c r="F148" s="3" t="s">
        <v>6</v>
      </c>
      <c r="G148" s="6">
        <v>492776522.75999999</v>
      </c>
      <c r="H148" s="6">
        <v>680459.53</v>
      </c>
      <c r="I148" s="6">
        <v>512285.13</v>
      </c>
      <c r="J148" s="6">
        <f t="shared" si="2"/>
        <v>168174.40000000002</v>
      </c>
      <c r="K148" s="3">
        <v>0.13</v>
      </c>
    </row>
    <row r="149" spans="1:11" s="3" customFormat="1" ht="15" customHeight="1" x14ac:dyDescent="0.25">
      <c r="A149" s="3" t="s">
        <v>403</v>
      </c>
      <c r="B149" s="3" t="s">
        <v>453</v>
      </c>
      <c r="C149" s="3" t="s">
        <v>454</v>
      </c>
      <c r="D149" s="3" t="s">
        <v>455</v>
      </c>
      <c r="E149" s="3" t="s">
        <v>407</v>
      </c>
      <c r="F149" s="3" t="s">
        <v>6</v>
      </c>
      <c r="G149" s="6">
        <v>480501720.18000001</v>
      </c>
      <c r="H149" s="6">
        <v>1001642.99</v>
      </c>
      <c r="I149" s="6">
        <v>669952.5</v>
      </c>
      <c r="J149" s="6">
        <f t="shared" si="2"/>
        <v>331690.49</v>
      </c>
      <c r="K149" s="3">
        <v>0.2</v>
      </c>
    </row>
    <row r="150" spans="1:11" s="3" customFormat="1" ht="15" customHeight="1" x14ac:dyDescent="0.25">
      <c r="A150" s="3" t="s">
        <v>403</v>
      </c>
      <c r="B150" s="3" t="s">
        <v>456</v>
      </c>
      <c r="C150" s="3" t="s">
        <v>457</v>
      </c>
      <c r="D150" s="3" t="s">
        <v>458</v>
      </c>
      <c r="E150" s="3" t="s">
        <v>407</v>
      </c>
      <c r="F150" s="3" t="s">
        <v>6</v>
      </c>
      <c r="G150" s="6">
        <v>410002837.06</v>
      </c>
      <c r="H150" s="6">
        <v>652028.5</v>
      </c>
      <c r="I150" s="6">
        <v>357981.27</v>
      </c>
      <c r="J150" s="6">
        <f t="shared" si="2"/>
        <v>294047.23</v>
      </c>
      <c r="K150" s="3">
        <v>0.15</v>
      </c>
    </row>
    <row r="151" spans="1:11" s="3" customFormat="1" ht="15" customHeight="1" x14ac:dyDescent="0.25">
      <c r="A151" s="3" t="s">
        <v>403</v>
      </c>
      <c r="B151" s="3" t="s">
        <v>459</v>
      </c>
      <c r="C151" s="3" t="s">
        <v>460</v>
      </c>
      <c r="D151" s="3" t="s">
        <v>461</v>
      </c>
      <c r="E151" s="3" t="s">
        <v>407</v>
      </c>
      <c r="F151" s="3" t="s">
        <v>6</v>
      </c>
      <c r="G151" s="6">
        <v>366060147.87</v>
      </c>
      <c r="H151" s="6">
        <v>899091.51</v>
      </c>
      <c r="I151" s="6">
        <v>616167.56000000006</v>
      </c>
      <c r="J151" s="6">
        <f t="shared" si="2"/>
        <v>282923.94999999995</v>
      </c>
      <c r="K151" s="3">
        <v>0.24</v>
      </c>
    </row>
    <row r="152" spans="1:11" s="3" customFormat="1" ht="15" customHeight="1" x14ac:dyDescent="0.25">
      <c r="A152" s="3" t="s">
        <v>403</v>
      </c>
      <c r="B152" s="3" t="s">
        <v>462</v>
      </c>
      <c r="C152" s="3" t="s">
        <v>463</v>
      </c>
      <c r="D152" s="3" t="s">
        <v>464</v>
      </c>
      <c r="E152" s="3" t="s">
        <v>407</v>
      </c>
      <c r="F152" s="3" t="s">
        <v>6</v>
      </c>
      <c r="G152" s="6">
        <v>324634698.13999999</v>
      </c>
      <c r="H152" s="6">
        <v>639538.18000000005</v>
      </c>
      <c r="I152" s="6">
        <v>382701.01</v>
      </c>
      <c r="J152" s="6">
        <f t="shared" si="2"/>
        <v>256837.17000000004</v>
      </c>
      <c r="K152" s="3">
        <v>0.19</v>
      </c>
    </row>
    <row r="153" spans="1:11" s="3" customFormat="1" ht="15" customHeight="1" x14ac:dyDescent="0.25">
      <c r="A153" s="3" t="s">
        <v>403</v>
      </c>
      <c r="B153" s="3" t="s">
        <v>465</v>
      </c>
      <c r="C153" s="3" t="s">
        <v>466</v>
      </c>
      <c r="D153" s="3" t="s">
        <v>467</v>
      </c>
      <c r="E153" s="3" t="s">
        <v>407</v>
      </c>
      <c r="F153" s="3" t="s">
        <v>6</v>
      </c>
      <c r="G153" s="6">
        <v>319278039.56</v>
      </c>
      <c r="H153" s="6">
        <v>890577.17</v>
      </c>
      <c r="I153" s="6">
        <v>663911.97</v>
      </c>
      <c r="J153" s="6">
        <f t="shared" si="2"/>
        <v>226665.20000000007</v>
      </c>
      <c r="K153" s="3">
        <v>0.27</v>
      </c>
    </row>
    <row r="154" spans="1:11" s="3" customFormat="1" ht="15" customHeight="1" x14ac:dyDescent="0.25">
      <c r="A154" s="3" t="s">
        <v>403</v>
      </c>
      <c r="B154" s="3" t="s">
        <v>468</v>
      </c>
      <c r="C154" s="3" t="s">
        <v>469</v>
      </c>
      <c r="D154" s="3" t="s">
        <v>470</v>
      </c>
      <c r="E154" s="3" t="s">
        <v>407</v>
      </c>
      <c r="F154" s="3" t="s">
        <v>6</v>
      </c>
      <c r="G154" s="6">
        <v>306788607.92000002</v>
      </c>
      <c r="H154" s="6">
        <v>463686.25</v>
      </c>
      <c r="I154" s="6">
        <v>240258.29</v>
      </c>
      <c r="J154" s="6">
        <f t="shared" si="2"/>
        <v>223427.96</v>
      </c>
      <c r="K154" s="3">
        <v>0.15</v>
      </c>
    </row>
    <row r="155" spans="1:11" s="3" customFormat="1" ht="15" customHeight="1" x14ac:dyDescent="0.25">
      <c r="A155" s="3" t="s">
        <v>403</v>
      </c>
      <c r="B155" s="3" t="s">
        <v>471</v>
      </c>
      <c r="C155" s="3" t="s">
        <v>472</v>
      </c>
      <c r="D155" s="3" t="s">
        <v>473</v>
      </c>
      <c r="E155" s="3" t="s">
        <v>407</v>
      </c>
      <c r="F155" s="3" t="s">
        <v>6</v>
      </c>
      <c r="G155" s="6">
        <v>302892791</v>
      </c>
      <c r="H155" s="6">
        <v>1038123.51</v>
      </c>
      <c r="I155" s="6">
        <v>589392.42000000004</v>
      </c>
      <c r="J155" s="6">
        <f t="shared" si="2"/>
        <v>448731.08999999997</v>
      </c>
      <c r="K155" s="3">
        <v>0.34</v>
      </c>
    </row>
    <row r="156" spans="1:11" s="3" customFormat="1" ht="15" customHeight="1" x14ac:dyDescent="0.25">
      <c r="A156" s="3" t="s">
        <v>403</v>
      </c>
      <c r="B156" s="3" t="s">
        <v>474</v>
      </c>
      <c r="C156" s="3" t="s">
        <v>475</v>
      </c>
      <c r="D156" s="3" t="s">
        <v>476</v>
      </c>
      <c r="E156" s="3" t="s">
        <v>407</v>
      </c>
      <c r="F156" s="3" t="s">
        <v>6</v>
      </c>
      <c r="G156" s="6">
        <v>293329382.68000001</v>
      </c>
      <c r="H156" s="6">
        <v>745173.9</v>
      </c>
      <c r="I156" s="6">
        <v>540866.30000000005</v>
      </c>
      <c r="J156" s="6">
        <f t="shared" si="2"/>
        <v>204307.59999999998</v>
      </c>
      <c r="K156" s="3">
        <v>0.25</v>
      </c>
    </row>
    <row r="157" spans="1:11" s="3" customFormat="1" ht="15" customHeight="1" x14ac:dyDescent="0.25">
      <c r="A157" s="3" t="s">
        <v>403</v>
      </c>
      <c r="B157" s="3" t="s">
        <v>477</v>
      </c>
      <c r="C157" s="3" t="s">
        <v>478</v>
      </c>
      <c r="D157" s="3" t="s">
        <v>479</v>
      </c>
      <c r="E157" s="3" t="s">
        <v>407</v>
      </c>
      <c r="F157" s="3" t="s">
        <v>6</v>
      </c>
      <c r="G157" s="6">
        <v>242412975.74000001</v>
      </c>
      <c r="H157" s="6">
        <v>426496.52</v>
      </c>
      <c r="I157" s="6">
        <v>221474.33</v>
      </c>
      <c r="J157" s="6">
        <f t="shared" si="2"/>
        <v>205022.19000000003</v>
      </c>
      <c r="K157" s="3">
        <v>0.17</v>
      </c>
    </row>
    <row r="158" spans="1:11" s="3" customFormat="1" ht="15" customHeight="1" x14ac:dyDescent="0.25">
      <c r="A158" s="3" t="s">
        <v>403</v>
      </c>
      <c r="B158" s="3" t="s">
        <v>480</v>
      </c>
      <c r="C158" s="3" t="s">
        <v>481</v>
      </c>
      <c r="D158" s="3" t="s">
        <v>482</v>
      </c>
      <c r="E158" s="3" t="s">
        <v>407</v>
      </c>
      <c r="F158" s="3" t="s">
        <v>6</v>
      </c>
      <c r="G158" s="6">
        <v>182555110.91</v>
      </c>
      <c r="H158" s="6">
        <v>348312.44</v>
      </c>
      <c r="I158" s="6">
        <v>227079.49</v>
      </c>
      <c r="J158" s="6">
        <f t="shared" si="2"/>
        <v>121232.95000000001</v>
      </c>
      <c r="K158" s="3">
        <v>0.19</v>
      </c>
    </row>
    <row r="159" spans="1:11" s="3" customFormat="1" ht="15" customHeight="1" x14ac:dyDescent="0.25">
      <c r="A159" s="3" t="s">
        <v>403</v>
      </c>
      <c r="B159" s="3" t="s">
        <v>483</v>
      </c>
      <c r="C159" s="3" t="s">
        <v>484</v>
      </c>
      <c r="D159" s="3" t="s">
        <v>485</v>
      </c>
      <c r="E159" s="3" t="s">
        <v>407</v>
      </c>
      <c r="F159" s="3" t="s">
        <v>6</v>
      </c>
      <c r="G159" s="6">
        <v>127743550.03</v>
      </c>
      <c r="H159" s="6">
        <v>363746.22</v>
      </c>
      <c r="I159" s="6">
        <v>248087.3</v>
      </c>
      <c r="J159" s="6">
        <f t="shared" si="2"/>
        <v>115658.91999999998</v>
      </c>
      <c r="K159" s="3">
        <v>0.28000000000000003</v>
      </c>
    </row>
    <row r="160" spans="1:11" s="3" customFormat="1" ht="15" customHeight="1" x14ac:dyDescent="0.25">
      <c r="A160" s="3" t="s">
        <v>403</v>
      </c>
      <c r="B160" s="3" t="s">
        <v>17</v>
      </c>
      <c r="C160" s="3" t="s">
        <v>486</v>
      </c>
      <c r="D160" s="3" t="s">
        <v>487</v>
      </c>
      <c r="E160" s="3" t="s">
        <v>407</v>
      </c>
      <c r="F160" s="3" t="s">
        <v>6</v>
      </c>
      <c r="G160" s="6">
        <v>88456836.349999994</v>
      </c>
      <c r="H160" s="6">
        <v>107563.09</v>
      </c>
      <c r="I160" s="6">
        <v>374.96</v>
      </c>
      <c r="J160" s="6">
        <f t="shared" si="2"/>
        <v>107188.12999999999</v>
      </c>
      <c r="K160" s="3">
        <v>0.12</v>
      </c>
    </row>
    <row r="161" spans="1:11" s="3" customFormat="1" ht="15" customHeight="1" x14ac:dyDescent="0.25">
      <c r="A161" s="3" t="s">
        <v>403</v>
      </c>
      <c r="B161" s="3" t="s">
        <v>17</v>
      </c>
      <c r="C161" s="3" t="s">
        <v>488</v>
      </c>
      <c r="D161" s="3" t="s">
        <v>489</v>
      </c>
      <c r="E161" s="3" t="s">
        <v>407</v>
      </c>
      <c r="F161" s="3" t="s">
        <v>6</v>
      </c>
      <c r="G161" s="6">
        <v>81634893.129999995</v>
      </c>
      <c r="H161" s="6">
        <v>366032.99</v>
      </c>
      <c r="I161" s="6">
        <v>271957.09000000003</v>
      </c>
      <c r="J161" s="6">
        <f t="shared" si="2"/>
        <v>94075.899999999965</v>
      </c>
      <c r="K161" s="3">
        <v>0.44</v>
      </c>
    </row>
    <row r="162" spans="1:11" s="3" customFormat="1" ht="15" customHeight="1" x14ac:dyDescent="0.25">
      <c r="A162" s="3" t="s">
        <v>403</v>
      </c>
      <c r="B162" s="3" t="s">
        <v>490</v>
      </c>
      <c r="C162" s="3" t="s">
        <v>491</v>
      </c>
      <c r="D162" s="3" t="s">
        <v>492</v>
      </c>
      <c r="E162" s="3" t="s">
        <v>407</v>
      </c>
      <c r="F162" s="3" t="s">
        <v>6</v>
      </c>
      <c r="G162" s="6">
        <v>80122528.420000002</v>
      </c>
      <c r="H162" s="6">
        <v>290955.77</v>
      </c>
      <c r="I162" s="6">
        <v>210802.6</v>
      </c>
      <c r="J162" s="6">
        <f t="shared" si="2"/>
        <v>80153.170000000013</v>
      </c>
      <c r="K162" s="3">
        <v>0.36</v>
      </c>
    </row>
    <row r="163" spans="1:11" s="3" customFormat="1" ht="15" customHeight="1" x14ac:dyDescent="0.25">
      <c r="A163" s="3" t="s">
        <v>403</v>
      </c>
      <c r="B163" s="3" t="s">
        <v>493</v>
      </c>
      <c r="C163" s="3" t="s">
        <v>494</v>
      </c>
      <c r="D163" s="3" t="s">
        <v>495</v>
      </c>
      <c r="E163" s="3" t="s">
        <v>407</v>
      </c>
      <c r="F163" s="3" t="s">
        <v>6</v>
      </c>
      <c r="G163" s="6">
        <v>44700231.850000001</v>
      </c>
      <c r="H163" s="6">
        <v>182652.16</v>
      </c>
      <c r="I163" s="6">
        <v>117799.7</v>
      </c>
      <c r="J163" s="6">
        <f t="shared" si="2"/>
        <v>64852.460000000006</v>
      </c>
      <c r="K163" s="3">
        <v>0.4</v>
      </c>
    </row>
    <row r="164" spans="1:11" s="3" customFormat="1" ht="15" customHeight="1" x14ac:dyDescent="0.25">
      <c r="A164" s="3" t="s">
        <v>403</v>
      </c>
      <c r="B164" s="3" t="s">
        <v>17</v>
      </c>
      <c r="C164" s="3" t="s">
        <v>496</v>
      </c>
      <c r="D164" s="3" t="s">
        <v>497</v>
      </c>
      <c r="E164" s="3" t="s">
        <v>407</v>
      </c>
      <c r="F164" s="3" t="s">
        <v>6</v>
      </c>
      <c r="G164" s="6">
        <v>41147807.399999999</v>
      </c>
      <c r="H164" s="6">
        <v>229650.35</v>
      </c>
      <c r="I164" s="6">
        <v>178222.12</v>
      </c>
      <c r="J164" s="6">
        <f t="shared" si="2"/>
        <v>51428.23000000001</v>
      </c>
      <c r="K164" s="3">
        <v>0.55000000000000004</v>
      </c>
    </row>
    <row r="165" spans="1:11" s="3" customFormat="1" ht="15" customHeight="1" x14ac:dyDescent="0.25">
      <c r="A165" s="3" t="s">
        <v>403</v>
      </c>
      <c r="B165" s="3" t="s">
        <v>498</v>
      </c>
      <c r="C165" s="3" t="s">
        <v>499</v>
      </c>
      <c r="D165" s="3" t="s">
        <v>500</v>
      </c>
      <c r="E165" s="3" t="s">
        <v>407</v>
      </c>
      <c r="F165" s="3" t="s">
        <v>6</v>
      </c>
      <c r="G165" s="6">
        <v>20154534.449999999</v>
      </c>
      <c r="H165" s="6">
        <v>58950.19</v>
      </c>
      <c r="I165" s="6">
        <v>42458.81</v>
      </c>
      <c r="J165" s="6">
        <f t="shared" si="2"/>
        <v>16491.380000000005</v>
      </c>
      <c r="K165" s="3">
        <v>0.28999999999999998</v>
      </c>
    </row>
    <row r="166" spans="1:11" s="3" customFormat="1" ht="15" customHeight="1" x14ac:dyDescent="0.25">
      <c r="A166" s="3" t="s">
        <v>403</v>
      </c>
      <c r="B166" s="3" t="s">
        <v>501</v>
      </c>
      <c r="C166" s="3" t="s">
        <v>502</v>
      </c>
      <c r="D166" s="3" t="s">
        <v>503</v>
      </c>
      <c r="E166" s="3" t="s">
        <v>407</v>
      </c>
      <c r="F166" s="3" t="s">
        <v>6</v>
      </c>
      <c r="G166" s="6">
        <v>14068442.939999999</v>
      </c>
      <c r="H166" s="6">
        <v>43766.5</v>
      </c>
      <c r="I166" s="6">
        <v>16067.15</v>
      </c>
      <c r="J166" s="6">
        <f t="shared" si="2"/>
        <v>27699.35</v>
      </c>
      <c r="K166" s="3">
        <v>0.31</v>
      </c>
    </row>
    <row r="167" spans="1:11" s="3" customFormat="1" ht="15" customHeight="1" x14ac:dyDescent="0.25">
      <c r="A167" s="3" t="s">
        <v>403</v>
      </c>
      <c r="B167" s="3" t="s">
        <v>504</v>
      </c>
      <c r="C167" s="3" t="s">
        <v>505</v>
      </c>
      <c r="D167" s="3" t="s">
        <v>506</v>
      </c>
      <c r="E167" s="3" t="s">
        <v>407</v>
      </c>
      <c r="F167" s="3" t="s">
        <v>6</v>
      </c>
      <c r="G167" s="6">
        <v>8484306.6300000008</v>
      </c>
      <c r="H167" s="6">
        <v>36741.589999999997</v>
      </c>
      <c r="I167" s="6">
        <v>23379.7</v>
      </c>
      <c r="J167" s="6">
        <f t="shared" si="2"/>
        <v>13361.889999999996</v>
      </c>
      <c r="K167" s="3">
        <v>0.43</v>
      </c>
    </row>
    <row r="168" spans="1:11" s="3" customFormat="1" ht="15" customHeight="1" x14ac:dyDescent="0.25">
      <c r="A168" s="3" t="s">
        <v>403</v>
      </c>
      <c r="B168" s="3" t="s">
        <v>507</v>
      </c>
      <c r="C168" s="3" t="s">
        <v>508</v>
      </c>
      <c r="D168" s="3" t="s">
        <v>509</v>
      </c>
      <c r="E168" s="3" t="s">
        <v>407</v>
      </c>
      <c r="F168" s="3" t="s">
        <v>6</v>
      </c>
      <c r="G168" s="6">
        <v>8404882.5800000001</v>
      </c>
      <c r="H168" s="6">
        <v>31191.45</v>
      </c>
      <c r="I168" s="6">
        <v>10917.19</v>
      </c>
      <c r="J168" s="6">
        <f t="shared" si="2"/>
        <v>20274.260000000002</v>
      </c>
      <c r="K168" s="3">
        <v>0.37</v>
      </c>
    </row>
    <row r="169" spans="1:11" s="3" customFormat="1" ht="15" customHeight="1" x14ac:dyDescent="0.25">
      <c r="A169" s="3" t="s">
        <v>403</v>
      </c>
      <c r="B169" s="3" t="s">
        <v>510</v>
      </c>
      <c r="C169" s="3" t="s">
        <v>511</v>
      </c>
      <c r="D169" s="3" t="s">
        <v>512</v>
      </c>
      <c r="E169" s="3" t="s">
        <v>407</v>
      </c>
      <c r="F169" s="3" t="s">
        <v>6</v>
      </c>
      <c r="G169" s="6">
        <v>7455600.9900000002</v>
      </c>
      <c r="H169" s="6">
        <v>16246.43</v>
      </c>
      <c r="I169" s="6">
        <v>11111.78</v>
      </c>
      <c r="J169" s="6">
        <f t="shared" si="2"/>
        <v>5134.6499999999996</v>
      </c>
      <c r="K169" s="3">
        <v>0.21</v>
      </c>
    </row>
    <row r="170" spans="1:11" s="3" customFormat="1" ht="15" customHeight="1" x14ac:dyDescent="0.25">
      <c r="A170" s="3" t="s">
        <v>403</v>
      </c>
      <c r="B170" s="3" t="s">
        <v>513</v>
      </c>
      <c r="C170" s="3" t="s">
        <v>514</v>
      </c>
      <c r="D170" s="3" t="s">
        <v>515</v>
      </c>
      <c r="E170" s="3" t="s">
        <v>407</v>
      </c>
      <c r="F170" s="3" t="s">
        <v>6</v>
      </c>
      <c r="G170" s="6">
        <v>3526896.33</v>
      </c>
      <c r="H170" s="6">
        <v>14232.02</v>
      </c>
      <c r="I170" s="6">
        <v>9784.52</v>
      </c>
      <c r="J170" s="6">
        <f t="shared" si="2"/>
        <v>4447.5</v>
      </c>
      <c r="K170" s="3">
        <v>0.4</v>
      </c>
    </row>
    <row r="171" spans="1:11" s="3" customFormat="1" ht="15" customHeight="1" x14ac:dyDescent="0.25">
      <c r="A171" s="3" t="s">
        <v>403</v>
      </c>
      <c r="B171" s="3" t="s">
        <v>516</v>
      </c>
      <c r="C171" s="3" t="s">
        <v>517</v>
      </c>
      <c r="D171" s="3" t="s">
        <v>518</v>
      </c>
      <c r="E171" s="3" t="s">
        <v>407</v>
      </c>
      <c r="F171" s="3" t="s">
        <v>6</v>
      </c>
      <c r="G171" s="6">
        <v>3491036.84</v>
      </c>
      <c r="H171" s="6">
        <v>10792.68</v>
      </c>
      <c r="I171" s="6">
        <v>6416.13</v>
      </c>
      <c r="J171" s="6">
        <f t="shared" si="2"/>
        <v>4376.55</v>
      </c>
      <c r="K171" s="3">
        <v>0.3</v>
      </c>
    </row>
    <row r="172" spans="1:11" s="3" customFormat="1" ht="15" customHeight="1" x14ac:dyDescent="0.25">
      <c r="A172" s="3" t="s">
        <v>519</v>
      </c>
      <c r="B172" s="3" t="s">
        <v>520</v>
      </c>
      <c r="C172" s="3" t="s">
        <v>519</v>
      </c>
      <c r="D172" s="3" t="s">
        <v>521</v>
      </c>
      <c r="E172" s="3" t="s">
        <v>407</v>
      </c>
      <c r="F172" s="3" t="s">
        <v>6</v>
      </c>
      <c r="G172" s="6">
        <v>1165567000.75</v>
      </c>
      <c r="H172" s="6">
        <v>1735112.71</v>
      </c>
      <c r="I172" s="6">
        <v>0</v>
      </c>
      <c r="J172" s="6">
        <f t="shared" si="2"/>
        <v>1735112.71</v>
      </c>
      <c r="K172" s="3">
        <v>0.14000000000000001</v>
      </c>
    </row>
    <row r="173" spans="1:11" s="3" customFormat="1" ht="15" customHeight="1" x14ac:dyDescent="0.25">
      <c r="A173" s="3" t="s">
        <v>519</v>
      </c>
      <c r="B173" s="3" t="s">
        <v>522</v>
      </c>
      <c r="C173" s="3" t="s">
        <v>523</v>
      </c>
      <c r="D173" s="3" t="s">
        <v>524</v>
      </c>
      <c r="E173" s="3" t="s">
        <v>407</v>
      </c>
      <c r="F173" s="3" t="s">
        <v>6</v>
      </c>
      <c r="G173" s="6">
        <v>612623934.26999998</v>
      </c>
      <c r="H173" s="6">
        <v>791265.12</v>
      </c>
      <c r="I173" s="6">
        <v>424284.26</v>
      </c>
      <c r="J173" s="6">
        <f t="shared" si="2"/>
        <v>366980.86</v>
      </c>
      <c r="K173" s="3">
        <v>0.12</v>
      </c>
    </row>
    <row r="174" spans="1:11" s="3" customFormat="1" ht="15" customHeight="1" x14ac:dyDescent="0.25">
      <c r="A174" s="3" t="s">
        <v>519</v>
      </c>
      <c r="B174" s="3" t="s">
        <v>525</v>
      </c>
      <c r="C174" s="3" t="s">
        <v>526</v>
      </c>
      <c r="D174" s="3" t="s">
        <v>527</v>
      </c>
      <c r="E174" s="3" t="s">
        <v>407</v>
      </c>
      <c r="F174" s="3" t="s">
        <v>6</v>
      </c>
      <c r="G174" s="6">
        <v>968429.8</v>
      </c>
      <c r="H174" s="6">
        <v>2780.12</v>
      </c>
      <c r="I174" s="6">
        <v>1709.57</v>
      </c>
      <c r="J174" s="6">
        <f t="shared" si="2"/>
        <v>1070.55</v>
      </c>
      <c r="K174" s="3">
        <v>0.28000000000000003</v>
      </c>
    </row>
    <row r="175" spans="1:11" s="3" customFormat="1" ht="15" customHeight="1" x14ac:dyDescent="0.25">
      <c r="A175" s="3" t="s">
        <v>528</v>
      </c>
      <c r="B175" s="3" t="s">
        <v>529</v>
      </c>
      <c r="C175" s="3" t="s">
        <v>530</v>
      </c>
      <c r="D175" s="3" t="s">
        <v>531</v>
      </c>
      <c r="E175" s="3" t="s">
        <v>532</v>
      </c>
      <c r="F175" s="3" t="s">
        <v>6</v>
      </c>
      <c r="G175" s="6">
        <v>1021294618.78</v>
      </c>
      <c r="H175" s="6">
        <v>1145145.6499999999</v>
      </c>
      <c r="I175" s="6">
        <v>778794.73</v>
      </c>
      <c r="J175" s="6">
        <f t="shared" si="2"/>
        <v>366350.91999999993</v>
      </c>
      <c r="K175" s="3">
        <v>0.11</v>
      </c>
    </row>
    <row r="176" spans="1:11" s="3" customFormat="1" ht="15" customHeight="1" x14ac:dyDescent="0.25">
      <c r="A176" s="3" t="s">
        <v>528</v>
      </c>
      <c r="B176" s="3" t="s">
        <v>533</v>
      </c>
      <c r="C176" s="3" t="s">
        <v>528</v>
      </c>
      <c r="D176" s="3" t="s">
        <v>534</v>
      </c>
      <c r="E176" s="3" t="s">
        <v>532</v>
      </c>
      <c r="F176" s="3" t="s">
        <v>6</v>
      </c>
      <c r="G176" s="6">
        <v>457644618.04000002</v>
      </c>
      <c r="H176" s="6">
        <v>662627.39</v>
      </c>
      <c r="I176" s="6">
        <v>26310.7</v>
      </c>
      <c r="J176" s="6">
        <f t="shared" si="2"/>
        <v>636316.69000000006</v>
      </c>
      <c r="K176" s="3">
        <v>0.14000000000000001</v>
      </c>
    </row>
    <row r="177" spans="1:11" s="3" customFormat="1" ht="15" customHeight="1" x14ac:dyDescent="0.25">
      <c r="A177" s="3" t="s">
        <v>535</v>
      </c>
      <c r="B177" s="3" t="s">
        <v>17</v>
      </c>
      <c r="C177" s="3" t="s">
        <v>536</v>
      </c>
      <c r="D177" s="3" t="s">
        <v>537</v>
      </c>
      <c r="E177" s="3" t="s">
        <v>538</v>
      </c>
      <c r="F177" s="3" t="s">
        <v>6</v>
      </c>
      <c r="G177" s="6">
        <v>489049545.10000002</v>
      </c>
      <c r="H177" s="6">
        <v>1989838.53</v>
      </c>
      <c r="I177" s="6">
        <v>1586761.27</v>
      </c>
      <c r="J177" s="6">
        <f t="shared" si="2"/>
        <v>403077.26</v>
      </c>
      <c r="K177" s="3">
        <v>0.4</v>
      </c>
    </row>
    <row r="178" spans="1:11" s="3" customFormat="1" ht="15" customHeight="1" x14ac:dyDescent="0.25">
      <c r="A178" s="3" t="s">
        <v>539</v>
      </c>
      <c r="B178" s="3" t="s">
        <v>540</v>
      </c>
      <c r="C178" s="3" t="s">
        <v>539</v>
      </c>
      <c r="D178" s="3" t="s">
        <v>541</v>
      </c>
      <c r="E178" s="3" t="s">
        <v>542</v>
      </c>
      <c r="F178" s="3" t="s">
        <v>6</v>
      </c>
      <c r="G178" s="6">
        <v>1062516061.0700001</v>
      </c>
      <c r="H178" s="6">
        <v>2012927.57</v>
      </c>
      <c r="I178" s="6">
        <v>53500.91</v>
      </c>
      <c r="J178" s="6">
        <f t="shared" si="2"/>
        <v>1959426.6600000001</v>
      </c>
      <c r="K178" s="3">
        <v>0.18</v>
      </c>
    </row>
    <row r="179" spans="1:11" s="3" customFormat="1" ht="15" customHeight="1" x14ac:dyDescent="0.25">
      <c r="A179" s="3" t="s">
        <v>543</v>
      </c>
      <c r="B179" s="3" t="s">
        <v>544</v>
      </c>
      <c r="C179" s="3" t="s">
        <v>543</v>
      </c>
      <c r="D179" s="3" t="s">
        <v>545</v>
      </c>
      <c r="E179" s="3" t="s">
        <v>546</v>
      </c>
      <c r="F179" s="3" t="s">
        <v>6</v>
      </c>
      <c r="G179" s="6">
        <v>732516530.33000004</v>
      </c>
      <c r="H179" s="6">
        <v>912270.74</v>
      </c>
      <c r="I179" s="6">
        <v>24157.49</v>
      </c>
      <c r="J179" s="6">
        <f t="shared" si="2"/>
        <v>888113.25</v>
      </c>
      <c r="K179" s="3">
        <v>0.12</v>
      </c>
    </row>
    <row r="180" spans="1:11" s="3" customFormat="1" ht="15" customHeight="1" x14ac:dyDescent="0.25">
      <c r="A180" s="3" t="s">
        <v>547</v>
      </c>
      <c r="B180" s="3" t="s">
        <v>548</v>
      </c>
      <c r="C180" s="3" t="s">
        <v>549</v>
      </c>
      <c r="D180" s="3" t="s">
        <v>550</v>
      </c>
      <c r="E180" s="3" t="s">
        <v>407</v>
      </c>
      <c r="F180" s="3" t="s">
        <v>6</v>
      </c>
      <c r="G180" s="6">
        <v>79183959.049999997</v>
      </c>
      <c r="H180" s="6">
        <v>218356.23</v>
      </c>
      <c r="I180" s="6">
        <v>143379.5</v>
      </c>
      <c r="J180" s="6">
        <f t="shared" si="2"/>
        <v>74976.73000000001</v>
      </c>
      <c r="K180" s="3">
        <v>0.27</v>
      </c>
    </row>
    <row r="181" spans="1:11" s="3" customFormat="1" ht="15" customHeight="1" x14ac:dyDescent="0.25">
      <c r="A181" s="3" t="s">
        <v>551</v>
      </c>
      <c r="B181" s="3" t="s">
        <v>552</v>
      </c>
      <c r="C181" s="3" t="s">
        <v>551</v>
      </c>
      <c r="D181" s="3" t="s">
        <v>553</v>
      </c>
      <c r="E181" s="3" t="s">
        <v>554</v>
      </c>
      <c r="F181" s="3" t="s">
        <v>6</v>
      </c>
      <c r="G181" s="6">
        <v>1306557959.04</v>
      </c>
      <c r="H181" s="6">
        <v>874083.76</v>
      </c>
      <c r="I181" s="6">
        <v>685.09</v>
      </c>
      <c r="J181" s="6">
        <f t="shared" si="2"/>
        <v>873398.67</v>
      </c>
      <c r="K181" s="3">
        <v>0.06</v>
      </c>
    </row>
    <row r="182" spans="1:11" s="3" customFormat="1" ht="15" customHeight="1" x14ac:dyDescent="0.25">
      <c r="A182" s="3" t="s">
        <v>551</v>
      </c>
      <c r="B182" s="3" t="s">
        <v>555</v>
      </c>
      <c r="C182" s="3" t="s">
        <v>556</v>
      </c>
      <c r="D182" s="3" t="s">
        <v>557</v>
      </c>
      <c r="E182" s="3" t="s">
        <v>558</v>
      </c>
      <c r="F182" s="3" t="s">
        <v>6</v>
      </c>
      <c r="G182" s="6">
        <v>1103693.22</v>
      </c>
      <c r="H182" s="6">
        <v>2765.48</v>
      </c>
      <c r="I182" s="6">
        <v>1843.69</v>
      </c>
      <c r="J182" s="6">
        <f t="shared" si="2"/>
        <v>921.79</v>
      </c>
      <c r="K182" s="3">
        <v>0.25</v>
      </c>
    </row>
    <row r="183" spans="1:11" s="3" customFormat="1" ht="15" customHeight="1" x14ac:dyDescent="0.25">
      <c r="A183" s="3" t="s">
        <v>559</v>
      </c>
      <c r="B183" s="3" t="s">
        <v>560</v>
      </c>
      <c r="C183" s="3" t="s">
        <v>559</v>
      </c>
      <c r="D183" s="3" t="s">
        <v>561</v>
      </c>
      <c r="E183" s="3" t="s">
        <v>562</v>
      </c>
      <c r="F183" s="3" t="s">
        <v>563</v>
      </c>
      <c r="G183" s="6">
        <v>862592789.75999999</v>
      </c>
      <c r="H183" s="6">
        <v>1078141.8400000001</v>
      </c>
      <c r="I183" s="6">
        <v>508.02</v>
      </c>
      <c r="J183" s="6">
        <f t="shared" si="2"/>
        <v>1077633.82</v>
      </c>
      <c r="K183" s="3">
        <v>0.12</v>
      </c>
    </row>
    <row r="184" spans="1:11" s="3" customFormat="1" ht="15" customHeight="1" x14ac:dyDescent="0.25">
      <c r="A184" s="3" t="s">
        <v>564</v>
      </c>
      <c r="B184" s="3" t="s">
        <v>17</v>
      </c>
      <c r="C184" s="3" t="s">
        <v>564</v>
      </c>
      <c r="D184" s="3" t="s">
        <v>565</v>
      </c>
      <c r="E184" s="3" t="s">
        <v>566</v>
      </c>
      <c r="F184" s="3" t="s">
        <v>6</v>
      </c>
      <c r="G184" s="6">
        <v>10374290865.01</v>
      </c>
      <c r="H184" s="6">
        <v>6834008.1900000004</v>
      </c>
      <c r="I184" s="6">
        <v>67494.86</v>
      </c>
      <c r="J184" s="6">
        <f t="shared" si="2"/>
        <v>6766513.3300000001</v>
      </c>
      <c r="K184" s="3">
        <v>0.06</v>
      </c>
    </row>
    <row r="185" spans="1:11" s="3" customFormat="1" ht="15" customHeight="1" x14ac:dyDescent="0.25">
      <c r="A185" s="3" t="s">
        <v>564</v>
      </c>
      <c r="B185" s="3" t="s">
        <v>567</v>
      </c>
      <c r="C185" s="3" t="s">
        <v>568</v>
      </c>
      <c r="D185" s="3" t="s">
        <v>569</v>
      </c>
      <c r="E185" s="3" t="s">
        <v>566</v>
      </c>
      <c r="F185" s="3" t="s">
        <v>6</v>
      </c>
      <c r="G185" s="6">
        <v>1180557140.1199999</v>
      </c>
      <c r="H185" s="6">
        <v>1187320.0900000001</v>
      </c>
      <c r="I185" s="6">
        <v>945316.69</v>
      </c>
      <c r="J185" s="6">
        <f t="shared" si="2"/>
        <v>242003.40000000014</v>
      </c>
      <c r="K185" s="3">
        <v>0.1</v>
      </c>
    </row>
    <row r="186" spans="1:11" s="3" customFormat="1" ht="15" customHeight="1" x14ac:dyDescent="0.25">
      <c r="A186" s="3" t="s">
        <v>564</v>
      </c>
      <c r="B186" s="3" t="s">
        <v>17</v>
      </c>
      <c r="C186" s="3" t="s">
        <v>570</v>
      </c>
      <c r="D186" s="3" t="s">
        <v>571</v>
      </c>
      <c r="E186" s="3" t="s">
        <v>566</v>
      </c>
      <c r="F186" s="3" t="s">
        <v>6</v>
      </c>
      <c r="G186" s="6">
        <v>363246609.49000001</v>
      </c>
      <c r="H186" s="6">
        <v>823429.13</v>
      </c>
      <c r="I186" s="6">
        <v>641879.18999999994</v>
      </c>
      <c r="J186" s="6">
        <f t="shared" si="2"/>
        <v>181549.94000000006</v>
      </c>
      <c r="K186" s="3">
        <v>0.22</v>
      </c>
    </row>
    <row r="187" spans="1:11" s="3" customFormat="1" ht="15" customHeight="1" x14ac:dyDescent="0.25">
      <c r="A187" s="3" t="s">
        <v>564</v>
      </c>
      <c r="B187" s="3" t="s">
        <v>572</v>
      </c>
      <c r="C187" s="3" t="s">
        <v>573</v>
      </c>
      <c r="D187" s="3" t="s">
        <v>574</v>
      </c>
      <c r="E187" s="3" t="s">
        <v>566</v>
      </c>
      <c r="F187" s="3" t="s">
        <v>6</v>
      </c>
      <c r="G187" s="6">
        <v>252431232.91</v>
      </c>
      <c r="H187" s="6">
        <v>689813.89</v>
      </c>
      <c r="I187" s="6">
        <v>453906.93</v>
      </c>
      <c r="J187" s="6">
        <f t="shared" si="2"/>
        <v>235906.96000000002</v>
      </c>
      <c r="K187" s="3">
        <v>0.27</v>
      </c>
    </row>
    <row r="188" spans="1:11" s="3" customFormat="1" ht="15" customHeight="1" x14ac:dyDescent="0.25">
      <c r="A188" s="3" t="s">
        <v>564</v>
      </c>
      <c r="B188" s="3" t="s">
        <v>575</v>
      </c>
      <c r="C188" s="3" t="s">
        <v>576</v>
      </c>
      <c r="D188" s="3" t="s">
        <v>577</v>
      </c>
      <c r="E188" s="3" t="s">
        <v>566</v>
      </c>
      <c r="F188" s="3" t="s">
        <v>6</v>
      </c>
      <c r="G188" s="6">
        <v>2239746.75</v>
      </c>
      <c r="H188" s="6">
        <v>8454.67</v>
      </c>
      <c r="I188" s="6">
        <v>4688.09</v>
      </c>
      <c r="J188" s="6">
        <f t="shared" si="2"/>
        <v>3766.58</v>
      </c>
      <c r="K188" s="3">
        <v>0.37</v>
      </c>
    </row>
    <row r="189" spans="1:11" s="3" customFormat="1" ht="15" customHeight="1" x14ac:dyDescent="0.25">
      <c r="A189" s="3" t="s">
        <v>564</v>
      </c>
      <c r="B189" s="3" t="s">
        <v>578</v>
      </c>
      <c r="C189" s="3" t="s">
        <v>579</v>
      </c>
      <c r="D189" s="3" t="s">
        <v>580</v>
      </c>
      <c r="E189" s="3" t="s">
        <v>566</v>
      </c>
      <c r="F189" s="3" t="s">
        <v>6</v>
      </c>
      <c r="G189" s="6">
        <v>2221771.4300000002</v>
      </c>
      <c r="H189" s="6">
        <v>1843.41</v>
      </c>
      <c r="I189" s="6">
        <v>0</v>
      </c>
      <c r="J189" s="6">
        <f t="shared" si="2"/>
        <v>1843.41</v>
      </c>
      <c r="K189" s="3">
        <v>0.08</v>
      </c>
    </row>
    <row r="190" spans="1:11" s="3" customFormat="1" ht="15" customHeight="1" x14ac:dyDescent="0.25">
      <c r="A190" s="3" t="s">
        <v>581</v>
      </c>
      <c r="B190" s="3" t="s">
        <v>582</v>
      </c>
      <c r="C190" s="3" t="s">
        <v>583</v>
      </c>
      <c r="D190" s="3" t="s">
        <v>584</v>
      </c>
      <c r="E190" s="3" t="s">
        <v>566</v>
      </c>
      <c r="F190" s="3" t="s">
        <v>6</v>
      </c>
      <c r="G190" s="6">
        <v>2471750345.2600002</v>
      </c>
      <c r="H190" s="6">
        <v>2379149.5</v>
      </c>
      <c r="I190" s="6">
        <v>5479659.4500000002</v>
      </c>
      <c r="J190" s="6">
        <f t="shared" si="2"/>
        <v>-3100509.95</v>
      </c>
      <c r="K190" s="3">
        <v>0.09</v>
      </c>
    </row>
    <row r="191" spans="1:11" s="3" customFormat="1" ht="15" customHeight="1" x14ac:dyDescent="0.25">
      <c r="A191" s="3" t="s">
        <v>581</v>
      </c>
      <c r="B191" s="3" t="s">
        <v>585</v>
      </c>
      <c r="C191" s="3" t="s">
        <v>586</v>
      </c>
      <c r="D191" s="3" t="s">
        <v>587</v>
      </c>
      <c r="E191" s="3" t="s">
        <v>566</v>
      </c>
      <c r="F191" s="3" t="s">
        <v>6</v>
      </c>
      <c r="G191" s="6">
        <v>510630952.5</v>
      </c>
      <c r="H191" s="6">
        <v>384885.41</v>
      </c>
      <c r="I191" s="6">
        <v>320090.18</v>
      </c>
      <c r="J191" s="6">
        <f t="shared" si="2"/>
        <v>64795.229999999981</v>
      </c>
      <c r="K191" s="3">
        <v>7.0000000000000007E-2</v>
      </c>
    </row>
    <row r="192" spans="1:11" s="3" customFormat="1" ht="15" customHeight="1" x14ac:dyDescent="0.25">
      <c r="A192" s="3" t="s">
        <v>581</v>
      </c>
      <c r="B192" s="3" t="s">
        <v>17</v>
      </c>
      <c r="C192" s="3" t="s">
        <v>588</v>
      </c>
      <c r="D192" s="3" t="s">
        <v>589</v>
      </c>
      <c r="E192" s="3" t="s">
        <v>566</v>
      </c>
      <c r="F192" s="3" t="s">
        <v>6</v>
      </c>
      <c r="G192" s="6">
        <v>300159284.88</v>
      </c>
      <c r="H192" s="6">
        <v>489461.96</v>
      </c>
      <c r="I192" s="6">
        <v>323296.55</v>
      </c>
      <c r="J192" s="6">
        <f t="shared" si="2"/>
        <v>166165.41000000003</v>
      </c>
      <c r="K192" s="3">
        <v>0.16</v>
      </c>
    </row>
    <row r="193" spans="1:11" s="3" customFormat="1" ht="15" customHeight="1" x14ac:dyDescent="0.25">
      <c r="A193" s="3" t="s">
        <v>581</v>
      </c>
      <c r="B193" s="3" t="s">
        <v>17</v>
      </c>
      <c r="C193" s="3" t="s">
        <v>590</v>
      </c>
      <c r="D193" s="3" t="s">
        <v>591</v>
      </c>
      <c r="E193" s="3" t="s">
        <v>566</v>
      </c>
      <c r="F193" s="3" t="s">
        <v>6</v>
      </c>
      <c r="G193" s="6">
        <v>294457989.63</v>
      </c>
      <c r="H193" s="6">
        <v>745602.49</v>
      </c>
      <c r="I193" s="6">
        <v>482108.1</v>
      </c>
      <c r="J193" s="6">
        <f t="shared" si="2"/>
        <v>263494.39</v>
      </c>
      <c r="K193" s="3">
        <v>0.25</v>
      </c>
    </row>
    <row r="194" spans="1:11" s="3" customFormat="1" ht="15" customHeight="1" x14ac:dyDescent="0.25">
      <c r="A194" s="3" t="s">
        <v>581</v>
      </c>
      <c r="B194" s="3" t="s">
        <v>592</v>
      </c>
      <c r="C194" s="3" t="s">
        <v>593</v>
      </c>
      <c r="D194" s="3" t="s">
        <v>594</v>
      </c>
      <c r="E194" s="3" t="s">
        <v>595</v>
      </c>
      <c r="F194" s="3" t="s">
        <v>6</v>
      </c>
      <c r="G194" s="6">
        <v>32408.25</v>
      </c>
      <c r="H194" s="6">
        <v>162.05000000000001</v>
      </c>
      <c r="I194" s="6">
        <v>0</v>
      </c>
      <c r="J194" s="6">
        <f t="shared" si="2"/>
        <v>162.05000000000001</v>
      </c>
      <c r="K194" s="3">
        <v>0.5</v>
      </c>
    </row>
    <row r="195" spans="1:11" s="3" customFormat="1" ht="15" customHeight="1" x14ac:dyDescent="0.25">
      <c r="A195" s="3" t="s">
        <v>596</v>
      </c>
      <c r="B195" s="3" t="s">
        <v>597</v>
      </c>
      <c r="C195" s="3" t="s">
        <v>596</v>
      </c>
      <c r="D195" s="3" t="s">
        <v>598</v>
      </c>
      <c r="E195" s="3" t="s">
        <v>599</v>
      </c>
      <c r="F195" s="3" t="s">
        <v>6</v>
      </c>
      <c r="G195" s="6">
        <v>603314860.78999996</v>
      </c>
      <c r="H195" s="6">
        <v>793670.51</v>
      </c>
      <c r="I195" s="6">
        <v>0</v>
      </c>
      <c r="J195" s="6">
        <f t="shared" si="2"/>
        <v>793670.51</v>
      </c>
      <c r="K195" s="3">
        <v>0.13</v>
      </c>
    </row>
    <row r="196" spans="1:11" s="3" customFormat="1" ht="15" customHeight="1" x14ac:dyDescent="0.25">
      <c r="A196" s="3" t="s">
        <v>600</v>
      </c>
      <c r="B196" s="3" t="s">
        <v>17</v>
      </c>
      <c r="C196" s="3" t="s">
        <v>600</v>
      </c>
      <c r="D196" s="3" t="s">
        <v>601</v>
      </c>
      <c r="E196" s="3" t="s">
        <v>602</v>
      </c>
      <c r="F196" s="3" t="s">
        <v>6</v>
      </c>
      <c r="G196" s="6">
        <v>4300209795.1599998</v>
      </c>
      <c r="H196" s="6">
        <v>5159146.38</v>
      </c>
      <c r="I196" s="6">
        <v>0</v>
      </c>
      <c r="J196" s="6">
        <f t="shared" ref="J196:J259" si="3">H196-I196</f>
        <v>5159146.38</v>
      </c>
      <c r="K196" s="3">
        <v>0.11</v>
      </c>
    </row>
    <row r="197" spans="1:11" s="3" customFormat="1" ht="15" customHeight="1" x14ac:dyDescent="0.25">
      <c r="A197" s="3" t="s">
        <v>600</v>
      </c>
      <c r="B197" s="3" t="s">
        <v>17</v>
      </c>
      <c r="C197" s="3" t="s">
        <v>603</v>
      </c>
      <c r="D197" s="3" t="s">
        <v>604</v>
      </c>
      <c r="E197" s="3" t="s">
        <v>602</v>
      </c>
      <c r="F197" s="3" t="s">
        <v>6</v>
      </c>
      <c r="G197" s="6">
        <v>652472551.59000003</v>
      </c>
      <c r="H197" s="6">
        <v>796831.18</v>
      </c>
      <c r="I197" s="6">
        <v>540173.92000000004</v>
      </c>
      <c r="J197" s="6">
        <f t="shared" si="3"/>
        <v>256657.26</v>
      </c>
      <c r="K197" s="3">
        <v>0.12</v>
      </c>
    </row>
    <row r="198" spans="1:11" s="3" customFormat="1" ht="15" customHeight="1" x14ac:dyDescent="0.25">
      <c r="A198" s="3" t="s">
        <v>600</v>
      </c>
      <c r="B198" s="3" t="s">
        <v>605</v>
      </c>
      <c r="C198" s="3" t="s">
        <v>606</v>
      </c>
      <c r="D198" s="3" t="s">
        <v>607</v>
      </c>
      <c r="E198" s="3" t="s">
        <v>602</v>
      </c>
      <c r="F198" s="3" t="s">
        <v>6</v>
      </c>
      <c r="G198" s="6">
        <v>148532337.12</v>
      </c>
      <c r="H198" s="6">
        <v>389542.2</v>
      </c>
      <c r="I198" s="6">
        <v>238684.48</v>
      </c>
      <c r="J198" s="6">
        <f t="shared" si="3"/>
        <v>150857.72</v>
      </c>
      <c r="K198" s="3">
        <v>0.26</v>
      </c>
    </row>
    <row r="199" spans="1:11" s="3" customFormat="1" ht="15" customHeight="1" x14ac:dyDescent="0.25">
      <c r="A199" s="3" t="s">
        <v>600</v>
      </c>
      <c r="B199" s="3" t="s">
        <v>608</v>
      </c>
      <c r="C199" s="3" t="s">
        <v>609</v>
      </c>
      <c r="D199" s="3" t="s">
        <v>610</v>
      </c>
      <c r="E199" s="3" t="s">
        <v>602</v>
      </c>
      <c r="F199" s="3" t="s">
        <v>6</v>
      </c>
      <c r="G199" s="6">
        <v>13839841.609999999</v>
      </c>
      <c r="H199" s="6">
        <v>19522.09</v>
      </c>
      <c r="I199" s="6">
        <v>13793.71</v>
      </c>
      <c r="J199" s="6">
        <f t="shared" si="3"/>
        <v>5728.380000000001</v>
      </c>
      <c r="K199" s="3">
        <v>0.14000000000000001</v>
      </c>
    </row>
    <row r="200" spans="1:11" s="3" customFormat="1" ht="15" customHeight="1" x14ac:dyDescent="0.25">
      <c r="A200" s="3" t="s">
        <v>611</v>
      </c>
      <c r="B200" s="3" t="s">
        <v>612</v>
      </c>
      <c r="C200" s="3" t="s">
        <v>613</v>
      </c>
      <c r="D200" s="3" t="s">
        <v>614</v>
      </c>
      <c r="E200" s="3" t="s">
        <v>615</v>
      </c>
      <c r="F200" s="3" t="s">
        <v>6</v>
      </c>
      <c r="G200" s="6">
        <v>6919109469.1300001</v>
      </c>
      <c r="H200" s="6">
        <v>6426611.0700000003</v>
      </c>
      <c r="I200" s="6">
        <v>4577583.1399999997</v>
      </c>
      <c r="J200" s="6">
        <f t="shared" si="3"/>
        <v>1849027.9300000006</v>
      </c>
      <c r="K200" s="3">
        <v>0.09</v>
      </c>
    </row>
    <row r="201" spans="1:11" s="3" customFormat="1" ht="15" customHeight="1" x14ac:dyDescent="0.25">
      <c r="A201" s="3" t="s">
        <v>611</v>
      </c>
      <c r="B201" s="3" t="s">
        <v>616</v>
      </c>
      <c r="C201" s="3" t="s">
        <v>617</v>
      </c>
      <c r="D201" s="3" t="s">
        <v>618</v>
      </c>
      <c r="E201" s="3" t="s">
        <v>615</v>
      </c>
      <c r="F201" s="3" t="s">
        <v>6</v>
      </c>
      <c r="G201" s="6">
        <v>753683606.39999998</v>
      </c>
      <c r="H201" s="6">
        <v>1244626.29</v>
      </c>
      <c r="I201" s="6">
        <v>774438.95</v>
      </c>
      <c r="J201" s="6">
        <f t="shared" si="3"/>
        <v>470187.34000000008</v>
      </c>
      <c r="K201" s="3">
        <v>0.16</v>
      </c>
    </row>
    <row r="202" spans="1:11" s="3" customFormat="1" ht="15" customHeight="1" x14ac:dyDescent="0.25">
      <c r="A202" s="3" t="s">
        <v>611</v>
      </c>
      <c r="B202" s="3" t="s">
        <v>619</v>
      </c>
      <c r="C202" s="3" t="s">
        <v>620</v>
      </c>
      <c r="D202" s="3" t="s">
        <v>621</v>
      </c>
      <c r="E202" s="3" t="s">
        <v>622</v>
      </c>
      <c r="F202" s="3" t="s">
        <v>6</v>
      </c>
      <c r="G202" s="6">
        <v>506665686.58999997</v>
      </c>
      <c r="H202" s="6">
        <v>501440.55</v>
      </c>
      <c r="I202" s="6">
        <v>323416.53000000003</v>
      </c>
      <c r="J202" s="6">
        <f t="shared" si="3"/>
        <v>178024.01999999996</v>
      </c>
      <c r="K202" s="3">
        <v>0.09</v>
      </c>
    </row>
    <row r="203" spans="1:11" s="3" customFormat="1" ht="15" customHeight="1" x14ac:dyDescent="0.25">
      <c r="A203" s="3" t="s">
        <v>623</v>
      </c>
      <c r="B203" s="3" t="s">
        <v>624</v>
      </c>
      <c r="C203" s="3" t="s">
        <v>623</v>
      </c>
      <c r="D203" s="3" t="s">
        <v>625</v>
      </c>
      <c r="E203" s="3" t="s">
        <v>107</v>
      </c>
      <c r="F203" s="3" t="s">
        <v>6</v>
      </c>
      <c r="G203" s="6">
        <v>977054265.84000003</v>
      </c>
      <c r="H203" s="6">
        <v>971178.64</v>
      </c>
      <c r="I203" s="6">
        <v>5083.09</v>
      </c>
      <c r="J203" s="6">
        <f t="shared" si="3"/>
        <v>966095.55</v>
      </c>
      <c r="K203" s="3">
        <v>0.09</v>
      </c>
    </row>
    <row r="204" spans="1:11" s="3" customFormat="1" ht="15" customHeight="1" x14ac:dyDescent="0.25">
      <c r="A204" s="3" t="s">
        <v>626</v>
      </c>
      <c r="B204" s="3" t="s">
        <v>627</v>
      </c>
      <c r="C204" s="3" t="s">
        <v>626</v>
      </c>
      <c r="D204" s="3" t="s">
        <v>628</v>
      </c>
      <c r="E204" s="3" t="s">
        <v>629</v>
      </c>
      <c r="F204" s="3" t="s">
        <v>6</v>
      </c>
      <c r="G204" s="6">
        <v>2714317054.29</v>
      </c>
      <c r="H204" s="6">
        <v>2038800.74</v>
      </c>
      <c r="I204" s="6">
        <v>0</v>
      </c>
      <c r="J204" s="6">
        <f t="shared" si="3"/>
        <v>2038800.74</v>
      </c>
      <c r="K204" s="3">
        <v>7.0000000000000007E-2</v>
      </c>
    </row>
    <row r="205" spans="1:11" s="3" customFormat="1" ht="15" customHeight="1" x14ac:dyDescent="0.25">
      <c r="A205" s="3" t="s">
        <v>630</v>
      </c>
      <c r="B205" s="3" t="s">
        <v>631</v>
      </c>
      <c r="C205" s="3" t="s">
        <v>632</v>
      </c>
      <c r="D205" s="3" t="s">
        <v>633</v>
      </c>
      <c r="E205" s="3" t="s">
        <v>393</v>
      </c>
      <c r="F205" s="3" t="s">
        <v>6</v>
      </c>
      <c r="G205" s="6">
        <v>4891475962.6599998</v>
      </c>
      <c r="H205" s="6">
        <v>4032550.77</v>
      </c>
      <c r="I205" s="6">
        <v>3101864.37</v>
      </c>
      <c r="J205" s="6">
        <f t="shared" si="3"/>
        <v>930686.39999999991</v>
      </c>
      <c r="K205" s="3">
        <v>0.08</v>
      </c>
    </row>
    <row r="206" spans="1:11" s="3" customFormat="1" ht="15" customHeight="1" x14ac:dyDescent="0.25">
      <c r="A206" s="3" t="s">
        <v>630</v>
      </c>
      <c r="B206" s="3" t="s">
        <v>634</v>
      </c>
      <c r="C206" s="3" t="s">
        <v>635</v>
      </c>
      <c r="D206" s="3" t="s">
        <v>636</v>
      </c>
      <c r="E206" s="3" t="s">
        <v>393</v>
      </c>
      <c r="F206" s="3" t="s">
        <v>6</v>
      </c>
      <c r="G206" s="6">
        <v>3037499922.3499999</v>
      </c>
      <c r="H206" s="6">
        <v>3348764.49</v>
      </c>
      <c r="I206" s="6">
        <v>2706950.52</v>
      </c>
      <c r="J206" s="6">
        <f t="shared" si="3"/>
        <v>641813.9700000002</v>
      </c>
      <c r="K206" s="3">
        <v>0.11</v>
      </c>
    </row>
    <row r="207" spans="1:11" s="3" customFormat="1" ht="15" customHeight="1" x14ac:dyDescent="0.25">
      <c r="A207" s="3" t="s">
        <v>630</v>
      </c>
      <c r="B207" s="3" t="s">
        <v>637</v>
      </c>
      <c r="C207" s="3" t="s">
        <v>638</v>
      </c>
      <c r="D207" s="3" t="s">
        <v>639</v>
      </c>
      <c r="E207" s="3" t="s">
        <v>393</v>
      </c>
      <c r="F207" s="3" t="s">
        <v>6</v>
      </c>
      <c r="G207" s="6">
        <v>3019093149.52</v>
      </c>
      <c r="H207" s="6">
        <v>3406715.04</v>
      </c>
      <c r="I207" s="6">
        <v>2493705.48</v>
      </c>
      <c r="J207" s="6">
        <f t="shared" si="3"/>
        <v>913009.56</v>
      </c>
      <c r="K207" s="3">
        <v>0.11</v>
      </c>
    </row>
    <row r="208" spans="1:11" s="3" customFormat="1" ht="15" customHeight="1" x14ac:dyDescent="0.25">
      <c r="A208" s="3" t="s">
        <v>630</v>
      </c>
      <c r="B208" s="3" t="s">
        <v>640</v>
      </c>
      <c r="C208" s="3" t="s">
        <v>641</v>
      </c>
      <c r="D208" s="3" t="s">
        <v>642</v>
      </c>
      <c r="E208" s="3" t="s">
        <v>643</v>
      </c>
      <c r="F208" s="3" t="s">
        <v>644</v>
      </c>
      <c r="G208" s="6">
        <v>2133015926.4400001</v>
      </c>
      <c r="H208" s="6">
        <v>1967774.76</v>
      </c>
      <c r="I208" s="6">
        <v>1397582.49</v>
      </c>
      <c r="J208" s="6">
        <f t="shared" si="3"/>
        <v>570192.27</v>
      </c>
      <c r="K208" s="3">
        <v>0.09</v>
      </c>
    </row>
    <row r="209" spans="1:11" s="3" customFormat="1" ht="15" customHeight="1" x14ac:dyDescent="0.25">
      <c r="A209" s="3" t="s">
        <v>630</v>
      </c>
      <c r="B209" s="3" t="s">
        <v>645</v>
      </c>
      <c r="C209" s="3" t="s">
        <v>646</v>
      </c>
      <c r="D209" s="3" t="s">
        <v>647</v>
      </c>
      <c r="E209" s="3" t="s">
        <v>393</v>
      </c>
      <c r="F209" s="3" t="s">
        <v>6</v>
      </c>
      <c r="G209" s="6">
        <v>1826200590.1600001</v>
      </c>
      <c r="H209" s="6">
        <v>3126882.11</v>
      </c>
      <c r="I209" s="6">
        <v>2143673.66</v>
      </c>
      <c r="J209" s="6">
        <f t="shared" si="3"/>
        <v>983208.44999999972</v>
      </c>
      <c r="K209" s="3">
        <v>0.17</v>
      </c>
    </row>
    <row r="210" spans="1:11" s="3" customFormat="1" ht="15" customHeight="1" x14ac:dyDescent="0.25">
      <c r="A210" s="3" t="s">
        <v>630</v>
      </c>
      <c r="B210" s="3" t="s">
        <v>17</v>
      </c>
      <c r="C210" s="3" t="s">
        <v>630</v>
      </c>
      <c r="D210" s="3" t="s">
        <v>648</v>
      </c>
      <c r="E210" s="3" t="s">
        <v>393</v>
      </c>
      <c r="F210" s="3" t="s">
        <v>6</v>
      </c>
      <c r="G210" s="6">
        <v>1519040081.3800001</v>
      </c>
      <c r="H210" s="6">
        <v>2295337.94</v>
      </c>
      <c r="I210" s="6">
        <v>15303.11</v>
      </c>
      <c r="J210" s="6">
        <f t="shared" si="3"/>
        <v>2280034.83</v>
      </c>
      <c r="K210" s="3">
        <v>0.15</v>
      </c>
    </row>
    <row r="211" spans="1:11" s="3" customFormat="1" ht="15" customHeight="1" x14ac:dyDescent="0.25">
      <c r="A211" s="3" t="s">
        <v>630</v>
      </c>
      <c r="B211" s="3" t="s">
        <v>649</v>
      </c>
      <c r="C211" s="3" t="s">
        <v>650</v>
      </c>
      <c r="D211" s="3" t="s">
        <v>651</v>
      </c>
      <c r="E211" s="3" t="s">
        <v>393</v>
      </c>
      <c r="F211" s="3" t="s">
        <v>6</v>
      </c>
      <c r="G211" s="6">
        <v>1415821207.1199999</v>
      </c>
      <c r="H211" s="6">
        <v>2886772.49</v>
      </c>
      <c r="I211" s="6">
        <v>2032335.05</v>
      </c>
      <c r="J211" s="6">
        <f t="shared" si="3"/>
        <v>854437.44000000018</v>
      </c>
      <c r="K211" s="3">
        <v>0.2</v>
      </c>
    </row>
    <row r="212" spans="1:11" s="3" customFormat="1" ht="15" customHeight="1" x14ac:dyDescent="0.25">
      <c r="A212" s="3" t="s">
        <v>630</v>
      </c>
      <c r="B212" s="3" t="s">
        <v>652</v>
      </c>
      <c r="C212" s="3" t="s">
        <v>653</v>
      </c>
      <c r="D212" s="3" t="s">
        <v>654</v>
      </c>
      <c r="E212" s="3" t="s">
        <v>393</v>
      </c>
      <c r="F212" s="3" t="s">
        <v>6</v>
      </c>
      <c r="G212" s="6">
        <v>1152310894.8199999</v>
      </c>
      <c r="H212" s="6">
        <v>2651417.9</v>
      </c>
      <c r="I212" s="6">
        <v>1900514.31</v>
      </c>
      <c r="J212" s="6">
        <f t="shared" si="3"/>
        <v>750903.58999999985</v>
      </c>
      <c r="K212" s="3">
        <v>0.23</v>
      </c>
    </row>
    <row r="213" spans="1:11" s="3" customFormat="1" ht="15" customHeight="1" x14ac:dyDescent="0.25">
      <c r="A213" s="3" t="s">
        <v>630</v>
      </c>
      <c r="B213" s="3" t="s">
        <v>655</v>
      </c>
      <c r="C213" s="3" t="s">
        <v>656</v>
      </c>
      <c r="D213" s="3" t="s">
        <v>657</v>
      </c>
      <c r="E213" s="3" t="s">
        <v>393</v>
      </c>
      <c r="F213" s="3" t="s">
        <v>6</v>
      </c>
      <c r="G213" s="6">
        <v>786099766.83000004</v>
      </c>
      <c r="H213" s="6">
        <v>1324300.75</v>
      </c>
      <c r="I213" s="6">
        <v>922164.37</v>
      </c>
      <c r="J213" s="6">
        <f t="shared" si="3"/>
        <v>402136.38</v>
      </c>
      <c r="K213" s="3">
        <v>0.16</v>
      </c>
    </row>
    <row r="214" spans="1:11" s="3" customFormat="1" ht="15" customHeight="1" x14ac:dyDescent="0.25">
      <c r="A214" s="3" t="s">
        <v>630</v>
      </c>
      <c r="B214" s="3" t="s">
        <v>658</v>
      </c>
      <c r="C214" s="3" t="s">
        <v>659</v>
      </c>
      <c r="D214" s="3" t="s">
        <v>660</v>
      </c>
      <c r="E214" s="3" t="s">
        <v>661</v>
      </c>
      <c r="F214" s="3" t="s">
        <v>72</v>
      </c>
      <c r="G214" s="6">
        <v>714856282.96000004</v>
      </c>
      <c r="H214" s="6">
        <v>1211022.67</v>
      </c>
      <c r="I214" s="6">
        <v>908268.68</v>
      </c>
      <c r="J214" s="6">
        <f t="shared" si="3"/>
        <v>302753.98999999987</v>
      </c>
      <c r="K214" s="3">
        <v>0.16</v>
      </c>
    </row>
    <row r="215" spans="1:11" s="3" customFormat="1" ht="15" customHeight="1" x14ac:dyDescent="0.25">
      <c r="A215" s="3" t="s">
        <v>630</v>
      </c>
      <c r="B215" s="3" t="s">
        <v>662</v>
      </c>
      <c r="C215" s="3" t="s">
        <v>663</v>
      </c>
      <c r="D215" s="3" t="s">
        <v>664</v>
      </c>
      <c r="E215" s="3" t="s">
        <v>393</v>
      </c>
      <c r="F215" s="3" t="s">
        <v>6</v>
      </c>
      <c r="G215" s="6">
        <v>707805256.03999996</v>
      </c>
      <c r="H215" s="6">
        <v>1580901.12</v>
      </c>
      <c r="I215" s="6">
        <v>1093443.6299999999</v>
      </c>
      <c r="J215" s="6">
        <f t="shared" si="3"/>
        <v>487457.49000000022</v>
      </c>
      <c r="K215" s="3">
        <v>0.22</v>
      </c>
    </row>
    <row r="216" spans="1:11" s="3" customFormat="1" ht="15" customHeight="1" x14ac:dyDescent="0.25">
      <c r="A216" s="3" t="s">
        <v>630</v>
      </c>
      <c r="B216" s="3" t="s">
        <v>665</v>
      </c>
      <c r="C216" s="3" t="s">
        <v>666</v>
      </c>
      <c r="D216" s="3" t="s">
        <v>667</v>
      </c>
      <c r="E216" s="3" t="s">
        <v>393</v>
      </c>
      <c r="F216" s="3" t="s">
        <v>6</v>
      </c>
      <c r="G216" s="6">
        <v>414379428.58999997</v>
      </c>
      <c r="H216" s="6">
        <v>933033.05</v>
      </c>
      <c r="I216" s="6">
        <v>651946.03</v>
      </c>
      <c r="J216" s="6">
        <f t="shared" si="3"/>
        <v>281087.02</v>
      </c>
      <c r="K216" s="3">
        <v>0.22</v>
      </c>
    </row>
    <row r="217" spans="1:11" s="3" customFormat="1" ht="15" customHeight="1" x14ac:dyDescent="0.25">
      <c r="A217" s="3" t="s">
        <v>630</v>
      </c>
      <c r="B217" s="3" t="s">
        <v>668</v>
      </c>
      <c r="C217" s="3" t="s">
        <v>669</v>
      </c>
      <c r="D217" s="3" t="s">
        <v>670</v>
      </c>
      <c r="E217" s="3" t="s">
        <v>393</v>
      </c>
      <c r="F217" s="3" t="s">
        <v>6</v>
      </c>
      <c r="G217" s="6">
        <v>326225018.66000003</v>
      </c>
      <c r="H217" s="6">
        <v>313776.48</v>
      </c>
      <c r="I217" s="6">
        <v>235330.7</v>
      </c>
      <c r="J217" s="6">
        <f t="shared" si="3"/>
        <v>78445.77999999997</v>
      </c>
      <c r="K217" s="3">
        <v>0.09</v>
      </c>
    </row>
    <row r="218" spans="1:11" s="3" customFormat="1" ht="15" customHeight="1" x14ac:dyDescent="0.25">
      <c r="A218" s="3" t="s">
        <v>630</v>
      </c>
      <c r="B218" s="3" t="s">
        <v>306</v>
      </c>
      <c r="C218" s="3" t="s">
        <v>671</v>
      </c>
      <c r="D218" s="3" t="s">
        <v>672</v>
      </c>
      <c r="E218" s="3" t="s">
        <v>393</v>
      </c>
      <c r="F218" s="3" t="s">
        <v>6</v>
      </c>
      <c r="G218" s="6">
        <v>295981547.67000002</v>
      </c>
      <c r="H218" s="6">
        <v>968953</v>
      </c>
      <c r="I218" s="6">
        <v>693682.59</v>
      </c>
      <c r="J218" s="6">
        <f t="shared" si="3"/>
        <v>275270.41000000003</v>
      </c>
      <c r="K218" s="3">
        <v>0.32</v>
      </c>
    </row>
    <row r="219" spans="1:11" s="3" customFormat="1" ht="15" customHeight="1" x14ac:dyDescent="0.25">
      <c r="A219" s="3" t="s">
        <v>630</v>
      </c>
      <c r="B219" s="3" t="s">
        <v>673</v>
      </c>
      <c r="C219" s="3" t="s">
        <v>674</v>
      </c>
      <c r="D219" s="3" t="s">
        <v>675</v>
      </c>
      <c r="E219" s="3" t="s">
        <v>676</v>
      </c>
      <c r="F219" s="3" t="s">
        <v>6</v>
      </c>
      <c r="G219" s="6">
        <v>205780507.18000001</v>
      </c>
      <c r="H219" s="6">
        <v>282574.71999999997</v>
      </c>
      <c r="I219" s="6">
        <v>218512.32</v>
      </c>
      <c r="J219" s="6">
        <f t="shared" si="3"/>
        <v>64062.399999999965</v>
      </c>
      <c r="K219" s="3">
        <v>0.13</v>
      </c>
    </row>
    <row r="220" spans="1:11" s="3" customFormat="1" ht="15" customHeight="1" x14ac:dyDescent="0.25">
      <c r="A220" s="3" t="s">
        <v>630</v>
      </c>
      <c r="B220" s="3" t="s">
        <v>677</v>
      </c>
      <c r="C220" s="3" t="s">
        <v>678</v>
      </c>
      <c r="D220" s="3" t="s">
        <v>679</v>
      </c>
      <c r="E220" s="3" t="s">
        <v>393</v>
      </c>
      <c r="F220" s="3" t="s">
        <v>6</v>
      </c>
      <c r="G220" s="6">
        <v>184160971.63999999</v>
      </c>
      <c r="H220" s="6">
        <v>3173915.76</v>
      </c>
      <c r="I220" s="6">
        <v>1594016.07</v>
      </c>
      <c r="J220" s="6">
        <f t="shared" si="3"/>
        <v>1579899.6899999997</v>
      </c>
      <c r="K220" s="3">
        <v>1.72</v>
      </c>
    </row>
    <row r="221" spans="1:11" s="3" customFormat="1" ht="15" customHeight="1" x14ac:dyDescent="0.25">
      <c r="A221" s="3" t="s">
        <v>630</v>
      </c>
      <c r="B221" s="3" t="s">
        <v>680</v>
      </c>
      <c r="C221" s="3" t="s">
        <v>681</v>
      </c>
      <c r="D221" s="3" t="s">
        <v>682</v>
      </c>
      <c r="E221" s="3" t="s">
        <v>393</v>
      </c>
      <c r="F221" s="3" t="s">
        <v>6</v>
      </c>
      <c r="G221" s="6">
        <v>94451392.030000001</v>
      </c>
      <c r="H221" s="6">
        <v>316331.49</v>
      </c>
      <c r="I221" s="6">
        <v>213512.14</v>
      </c>
      <c r="J221" s="6">
        <f t="shared" si="3"/>
        <v>102819.34999999998</v>
      </c>
      <c r="K221" s="3">
        <v>0.33</v>
      </c>
    </row>
    <row r="222" spans="1:11" s="3" customFormat="1" ht="15" customHeight="1" x14ac:dyDescent="0.25">
      <c r="A222" s="3" t="s">
        <v>630</v>
      </c>
      <c r="B222" s="3" t="s">
        <v>683</v>
      </c>
      <c r="C222" s="3" t="s">
        <v>684</v>
      </c>
      <c r="D222" s="3" t="s">
        <v>685</v>
      </c>
      <c r="E222" s="3" t="s">
        <v>393</v>
      </c>
      <c r="F222" s="3" t="s">
        <v>6</v>
      </c>
      <c r="G222" s="6">
        <v>89738533.560000002</v>
      </c>
      <c r="H222" s="6">
        <v>45414.27</v>
      </c>
      <c r="I222" s="6">
        <v>28153.68</v>
      </c>
      <c r="J222" s="6">
        <f t="shared" si="3"/>
        <v>17260.589999999997</v>
      </c>
      <c r="K222" s="3">
        <v>0.05</v>
      </c>
    </row>
    <row r="223" spans="1:11" s="3" customFormat="1" ht="15" customHeight="1" x14ac:dyDescent="0.25">
      <c r="A223" s="3" t="s">
        <v>630</v>
      </c>
      <c r="B223" s="3" t="s">
        <v>686</v>
      </c>
      <c r="C223" s="3" t="s">
        <v>687</v>
      </c>
      <c r="D223" s="3" t="s">
        <v>688</v>
      </c>
      <c r="E223" s="3" t="s">
        <v>393</v>
      </c>
      <c r="F223" s="3" t="s">
        <v>6</v>
      </c>
      <c r="G223" s="6">
        <v>48823403.950000003</v>
      </c>
      <c r="H223" s="6">
        <v>129337.68</v>
      </c>
      <c r="I223" s="6">
        <v>100713.02</v>
      </c>
      <c r="J223" s="6">
        <f t="shared" si="3"/>
        <v>28624.659999999989</v>
      </c>
      <c r="K223" s="3">
        <v>0.26</v>
      </c>
    </row>
    <row r="224" spans="1:11" s="3" customFormat="1" ht="15" customHeight="1" x14ac:dyDescent="0.25">
      <c r="A224" s="3" t="s">
        <v>630</v>
      </c>
      <c r="B224" s="3" t="s">
        <v>689</v>
      </c>
      <c r="C224" s="3" t="s">
        <v>690</v>
      </c>
      <c r="D224" s="3" t="s">
        <v>691</v>
      </c>
      <c r="E224" s="3" t="s">
        <v>393</v>
      </c>
      <c r="F224" s="3" t="s">
        <v>6</v>
      </c>
      <c r="G224" s="6">
        <v>44371732.770000003</v>
      </c>
      <c r="H224" s="6">
        <v>122832.4</v>
      </c>
      <c r="I224" s="6">
        <v>44208.480000000003</v>
      </c>
      <c r="J224" s="6">
        <f t="shared" si="3"/>
        <v>78623.919999999984</v>
      </c>
      <c r="K224" s="3">
        <v>0.27</v>
      </c>
    </row>
    <row r="225" spans="1:11" s="3" customFormat="1" ht="15" customHeight="1" x14ac:dyDescent="0.25">
      <c r="A225" s="3" t="s">
        <v>630</v>
      </c>
      <c r="B225" s="3" t="s">
        <v>692</v>
      </c>
      <c r="C225" s="3" t="s">
        <v>693</v>
      </c>
      <c r="D225" s="3" t="s">
        <v>694</v>
      </c>
      <c r="E225" s="3" t="s">
        <v>393</v>
      </c>
      <c r="F225" s="3" t="s">
        <v>6</v>
      </c>
      <c r="G225" s="6">
        <v>32140939.010000002</v>
      </c>
      <c r="H225" s="6">
        <v>52697.94</v>
      </c>
      <c r="I225" s="6">
        <v>33021.94</v>
      </c>
      <c r="J225" s="6">
        <f t="shared" si="3"/>
        <v>19676</v>
      </c>
      <c r="K225" s="3">
        <v>0.16</v>
      </c>
    </row>
    <row r="226" spans="1:11" s="3" customFormat="1" ht="15" customHeight="1" x14ac:dyDescent="0.25">
      <c r="A226" s="3" t="s">
        <v>630</v>
      </c>
      <c r="B226" s="3" t="s">
        <v>17</v>
      </c>
      <c r="C226" s="3" t="s">
        <v>695</v>
      </c>
      <c r="D226" s="3" t="s">
        <v>696</v>
      </c>
      <c r="E226" s="3" t="s">
        <v>393</v>
      </c>
      <c r="F226" s="3" t="s">
        <v>6</v>
      </c>
      <c r="G226" s="6">
        <v>32081885.5</v>
      </c>
      <c r="H226" s="6">
        <v>133325.91</v>
      </c>
      <c r="I226" s="6">
        <v>92833.71</v>
      </c>
      <c r="J226" s="6">
        <f t="shared" si="3"/>
        <v>40492.199999999997</v>
      </c>
      <c r="K226" s="3">
        <v>0.41</v>
      </c>
    </row>
    <row r="227" spans="1:11" s="3" customFormat="1" ht="15" customHeight="1" x14ac:dyDescent="0.25">
      <c r="A227" s="3" t="s">
        <v>630</v>
      </c>
      <c r="B227" s="3" t="s">
        <v>697</v>
      </c>
      <c r="C227" s="3" t="s">
        <v>698</v>
      </c>
      <c r="D227" s="3" t="s">
        <v>699</v>
      </c>
      <c r="E227" s="3" t="s">
        <v>312</v>
      </c>
      <c r="F227" s="3" t="s">
        <v>6</v>
      </c>
      <c r="G227" s="6">
        <v>16272584.83</v>
      </c>
      <c r="H227" s="6">
        <v>46984.88</v>
      </c>
      <c r="I227" s="6">
        <v>32889.79</v>
      </c>
      <c r="J227" s="6">
        <f t="shared" si="3"/>
        <v>14095.089999999997</v>
      </c>
      <c r="K227" s="3">
        <v>0.28000000000000003</v>
      </c>
    </row>
    <row r="228" spans="1:11" s="3" customFormat="1" ht="15" customHeight="1" x14ac:dyDescent="0.25">
      <c r="A228" s="3" t="s">
        <v>630</v>
      </c>
      <c r="B228" s="3" t="s">
        <v>17</v>
      </c>
      <c r="C228" s="3" t="s">
        <v>700</v>
      </c>
      <c r="D228" s="3" t="s">
        <v>701</v>
      </c>
      <c r="E228" s="3" t="s">
        <v>393</v>
      </c>
      <c r="F228" s="3" t="s">
        <v>6</v>
      </c>
      <c r="G228" s="6">
        <v>9864129.3300000001</v>
      </c>
      <c r="H228" s="6">
        <v>41340.269999999997</v>
      </c>
      <c r="I228" s="6">
        <v>26049.4</v>
      </c>
      <c r="J228" s="6">
        <f t="shared" si="3"/>
        <v>15290.869999999995</v>
      </c>
      <c r="K228" s="3">
        <v>0.41</v>
      </c>
    </row>
    <row r="229" spans="1:11" s="3" customFormat="1" ht="15" customHeight="1" x14ac:dyDescent="0.25">
      <c r="A229" s="3" t="s">
        <v>630</v>
      </c>
      <c r="B229" s="3" t="s">
        <v>702</v>
      </c>
      <c r="C229" s="3" t="s">
        <v>703</v>
      </c>
      <c r="D229" s="3" t="s">
        <v>704</v>
      </c>
      <c r="E229" s="3" t="s">
        <v>393</v>
      </c>
      <c r="F229" s="3" t="s">
        <v>6</v>
      </c>
      <c r="G229" s="6">
        <v>95294.96</v>
      </c>
      <c r="H229" s="6">
        <v>169.19</v>
      </c>
      <c r="I229" s="6">
        <v>0</v>
      </c>
      <c r="J229" s="6">
        <f t="shared" si="3"/>
        <v>169.19</v>
      </c>
      <c r="K229" s="3">
        <v>0.17</v>
      </c>
    </row>
    <row r="230" spans="1:11" s="3" customFormat="1" ht="15" customHeight="1" x14ac:dyDescent="0.25">
      <c r="A230" s="3" t="s">
        <v>630</v>
      </c>
      <c r="B230" s="3" t="s">
        <v>705</v>
      </c>
      <c r="C230" s="3" t="s">
        <v>706</v>
      </c>
      <c r="D230" s="3" t="s">
        <v>707</v>
      </c>
      <c r="E230" s="3" t="s">
        <v>393</v>
      </c>
      <c r="F230" s="3" t="s">
        <v>6</v>
      </c>
      <c r="G230" s="6">
        <v>33845.199999999997</v>
      </c>
      <c r="H230" s="6">
        <v>161.41999999999999</v>
      </c>
      <c r="I230" s="6">
        <v>0</v>
      </c>
      <c r="J230" s="6">
        <f t="shared" si="3"/>
        <v>161.41999999999999</v>
      </c>
      <c r="K230" s="3">
        <v>0.47</v>
      </c>
    </row>
    <row r="231" spans="1:11" s="3" customFormat="1" ht="15" customHeight="1" x14ac:dyDescent="0.25">
      <c r="A231" s="3" t="s">
        <v>708</v>
      </c>
      <c r="B231" s="3" t="s">
        <v>709</v>
      </c>
      <c r="C231" s="3" t="s">
        <v>710</v>
      </c>
      <c r="D231" s="3" t="s">
        <v>711</v>
      </c>
      <c r="E231" s="3" t="s">
        <v>393</v>
      </c>
      <c r="F231" s="3" t="s">
        <v>6</v>
      </c>
      <c r="G231" s="6">
        <v>2758553466</v>
      </c>
      <c r="H231" s="6">
        <v>4098476.34</v>
      </c>
      <c r="I231" s="6">
        <v>3184664.5</v>
      </c>
      <c r="J231" s="6">
        <f t="shared" si="3"/>
        <v>913811.83999999985</v>
      </c>
      <c r="K231" s="3">
        <v>0.14000000000000001</v>
      </c>
    </row>
    <row r="232" spans="1:11" s="3" customFormat="1" ht="15" customHeight="1" x14ac:dyDescent="0.25">
      <c r="A232" s="3" t="s">
        <v>708</v>
      </c>
      <c r="B232" s="3" t="s">
        <v>712</v>
      </c>
      <c r="C232" s="3" t="s">
        <v>713</v>
      </c>
      <c r="D232" s="3" t="s">
        <v>714</v>
      </c>
      <c r="E232" s="3" t="s">
        <v>393</v>
      </c>
      <c r="F232" s="3" t="s">
        <v>6</v>
      </c>
      <c r="G232" s="6">
        <v>1217238943.5599999</v>
      </c>
      <c r="H232" s="6">
        <v>1899630.49</v>
      </c>
      <c r="I232" s="6">
        <v>1486428.12</v>
      </c>
      <c r="J232" s="6">
        <f t="shared" si="3"/>
        <v>413202.36999999988</v>
      </c>
      <c r="K232" s="3">
        <v>0.15</v>
      </c>
    </row>
    <row r="233" spans="1:11" s="3" customFormat="1" ht="15" customHeight="1" x14ac:dyDescent="0.25">
      <c r="A233" s="3" t="s">
        <v>715</v>
      </c>
      <c r="B233" s="3" t="s">
        <v>297</v>
      </c>
      <c r="C233" s="3" t="s">
        <v>715</v>
      </c>
      <c r="D233" s="3" t="s">
        <v>716</v>
      </c>
      <c r="E233" s="3" t="s">
        <v>717</v>
      </c>
      <c r="F233" s="3" t="s">
        <v>6</v>
      </c>
      <c r="G233" s="6">
        <v>436891158.60000002</v>
      </c>
      <c r="H233" s="6">
        <v>782506.41</v>
      </c>
      <c r="I233" s="6">
        <v>21028.92</v>
      </c>
      <c r="J233" s="6">
        <f t="shared" si="3"/>
        <v>761477.49</v>
      </c>
      <c r="K233" s="3">
        <v>0.17</v>
      </c>
    </row>
    <row r="234" spans="1:11" s="3" customFormat="1" ht="15" customHeight="1" x14ac:dyDescent="0.25">
      <c r="A234" s="3" t="s">
        <v>715</v>
      </c>
      <c r="B234" s="3" t="s">
        <v>718</v>
      </c>
      <c r="C234" s="3" t="s">
        <v>719</v>
      </c>
      <c r="D234" s="3" t="s">
        <v>720</v>
      </c>
      <c r="E234" s="3" t="s">
        <v>717</v>
      </c>
      <c r="F234" s="3" t="s">
        <v>6</v>
      </c>
      <c r="G234" s="6">
        <v>421222</v>
      </c>
      <c r="H234" s="6">
        <v>1684.93</v>
      </c>
      <c r="I234" s="6">
        <v>1263.71</v>
      </c>
      <c r="J234" s="6">
        <f t="shared" si="3"/>
        <v>421.22</v>
      </c>
      <c r="K234" s="3">
        <v>0.4</v>
      </c>
    </row>
    <row r="235" spans="1:11" s="3" customFormat="1" ht="15" customHeight="1" x14ac:dyDescent="0.25">
      <c r="A235" s="3" t="s">
        <v>721</v>
      </c>
      <c r="B235" s="3" t="s">
        <v>722</v>
      </c>
      <c r="C235" s="3" t="s">
        <v>723</v>
      </c>
      <c r="D235" s="3" t="s">
        <v>724</v>
      </c>
      <c r="E235" s="3" t="s">
        <v>725</v>
      </c>
      <c r="F235" s="3" t="s">
        <v>726</v>
      </c>
      <c r="G235" s="6">
        <v>1356121908.3800001</v>
      </c>
      <c r="H235" s="6">
        <v>3812850.13</v>
      </c>
      <c r="I235" s="6">
        <v>2590869.2599999998</v>
      </c>
      <c r="J235" s="6">
        <f t="shared" si="3"/>
        <v>1221980.8700000001</v>
      </c>
      <c r="K235" s="3">
        <v>0.28000000000000003</v>
      </c>
    </row>
    <row r="236" spans="1:11" s="3" customFormat="1" ht="15" customHeight="1" x14ac:dyDescent="0.25">
      <c r="A236" s="3" t="s">
        <v>721</v>
      </c>
      <c r="B236" s="3" t="s">
        <v>727</v>
      </c>
      <c r="C236" s="3" t="s">
        <v>721</v>
      </c>
      <c r="D236" s="3" t="s">
        <v>728</v>
      </c>
      <c r="E236" s="3" t="s">
        <v>729</v>
      </c>
      <c r="F236" s="3" t="s">
        <v>726</v>
      </c>
      <c r="G236" s="6">
        <v>463604712.06999999</v>
      </c>
      <c r="H236" s="6">
        <v>480839.99</v>
      </c>
      <c r="I236" s="6">
        <v>0</v>
      </c>
      <c r="J236" s="6">
        <f t="shared" si="3"/>
        <v>480839.99</v>
      </c>
      <c r="K236" s="3">
        <v>0.1</v>
      </c>
    </row>
    <row r="237" spans="1:11" s="3" customFormat="1" ht="15" customHeight="1" x14ac:dyDescent="0.25">
      <c r="A237" s="3" t="s">
        <v>721</v>
      </c>
      <c r="B237" s="3" t="s">
        <v>730</v>
      </c>
      <c r="C237" s="3" t="s">
        <v>731</v>
      </c>
      <c r="D237" s="3" t="s">
        <v>732</v>
      </c>
      <c r="E237" s="3" t="s">
        <v>725</v>
      </c>
      <c r="F237" s="3" t="s">
        <v>726</v>
      </c>
      <c r="G237" s="6">
        <v>322274749.30000001</v>
      </c>
      <c r="H237" s="6">
        <v>143601.71</v>
      </c>
      <c r="I237" s="6">
        <v>87044.83</v>
      </c>
      <c r="J237" s="6">
        <f t="shared" si="3"/>
        <v>56556.87999999999</v>
      </c>
      <c r="K237" s="3">
        <v>0.04</v>
      </c>
    </row>
    <row r="238" spans="1:11" s="3" customFormat="1" ht="15" customHeight="1" x14ac:dyDescent="0.25">
      <c r="A238" s="3" t="s">
        <v>721</v>
      </c>
      <c r="B238" s="3" t="s">
        <v>733</v>
      </c>
      <c r="C238" s="3" t="s">
        <v>734</v>
      </c>
      <c r="D238" s="3" t="s">
        <v>735</v>
      </c>
      <c r="E238" s="3" t="s">
        <v>725</v>
      </c>
      <c r="F238" s="3" t="s">
        <v>726</v>
      </c>
      <c r="G238" s="6">
        <v>266409006.59999999</v>
      </c>
      <c r="H238" s="6">
        <v>181514.6</v>
      </c>
      <c r="I238" s="6">
        <v>91777.18</v>
      </c>
      <c r="J238" s="6">
        <f t="shared" si="3"/>
        <v>89737.420000000013</v>
      </c>
      <c r="K238" s="3">
        <v>0.06</v>
      </c>
    </row>
    <row r="239" spans="1:11" s="3" customFormat="1" ht="15" customHeight="1" x14ac:dyDescent="0.25">
      <c r="A239" s="3" t="s">
        <v>736</v>
      </c>
      <c r="B239" s="3" t="s">
        <v>737</v>
      </c>
      <c r="C239" s="3" t="s">
        <v>736</v>
      </c>
      <c r="D239" s="3" t="s">
        <v>738</v>
      </c>
      <c r="E239" s="3" t="s">
        <v>5</v>
      </c>
      <c r="F239" s="3" t="s">
        <v>6</v>
      </c>
      <c r="G239" s="6">
        <v>52915697.340000004</v>
      </c>
      <c r="H239" s="6">
        <v>41215.25</v>
      </c>
      <c r="I239" s="6">
        <v>0</v>
      </c>
      <c r="J239" s="6">
        <f t="shared" si="3"/>
        <v>41215.25</v>
      </c>
      <c r="K239" s="3">
        <v>7.0000000000000007E-2</v>
      </c>
    </row>
    <row r="240" spans="1:11" s="3" customFormat="1" ht="15" customHeight="1" x14ac:dyDescent="0.25">
      <c r="A240" s="3" t="s">
        <v>739</v>
      </c>
      <c r="B240" s="3" t="s">
        <v>17</v>
      </c>
      <c r="C240" s="3" t="s">
        <v>739</v>
      </c>
      <c r="D240" s="3" t="s">
        <v>740</v>
      </c>
      <c r="E240" s="3" t="s">
        <v>741</v>
      </c>
      <c r="F240" s="3" t="s">
        <v>6</v>
      </c>
      <c r="G240" s="6">
        <v>393739210.75</v>
      </c>
      <c r="H240" s="6">
        <v>761547.37</v>
      </c>
      <c r="I240" s="6">
        <v>512222.13</v>
      </c>
      <c r="J240" s="6">
        <f t="shared" si="3"/>
        <v>249325.24</v>
      </c>
      <c r="K240" s="3">
        <v>0.19</v>
      </c>
    </row>
    <row r="241" spans="1:11" s="3" customFormat="1" ht="15" customHeight="1" x14ac:dyDescent="0.25">
      <c r="A241" s="3" t="s">
        <v>742</v>
      </c>
      <c r="B241" s="3" t="s">
        <v>743</v>
      </c>
      <c r="C241" s="3" t="s">
        <v>742</v>
      </c>
      <c r="D241" s="3" t="s">
        <v>744</v>
      </c>
      <c r="E241" s="3" t="s">
        <v>745</v>
      </c>
      <c r="F241" s="3" t="s">
        <v>6</v>
      </c>
      <c r="G241" s="6">
        <v>1630109898.8900001</v>
      </c>
      <c r="H241" s="6">
        <v>2435504.35</v>
      </c>
      <c r="I241" s="6">
        <v>1691.9</v>
      </c>
      <c r="J241" s="6">
        <f t="shared" si="3"/>
        <v>2433812.4500000002</v>
      </c>
      <c r="K241" s="3">
        <v>0.14000000000000001</v>
      </c>
    </row>
    <row r="242" spans="1:11" s="3" customFormat="1" ht="15" customHeight="1" x14ac:dyDescent="0.25">
      <c r="A242" s="3" t="s">
        <v>746</v>
      </c>
      <c r="B242" s="3" t="s">
        <v>747</v>
      </c>
      <c r="C242" s="3" t="s">
        <v>746</v>
      </c>
      <c r="D242" s="3" t="s">
        <v>748</v>
      </c>
      <c r="E242" s="3" t="s">
        <v>749</v>
      </c>
      <c r="F242" s="3" t="s">
        <v>6</v>
      </c>
      <c r="G242" s="6">
        <v>1634256802.4300001</v>
      </c>
      <c r="H242" s="6">
        <v>2714129.13</v>
      </c>
      <c r="I242" s="6">
        <v>54974.89</v>
      </c>
      <c r="J242" s="6">
        <f t="shared" si="3"/>
        <v>2659154.2399999998</v>
      </c>
      <c r="K242" s="3">
        <v>0.16</v>
      </c>
    </row>
    <row r="243" spans="1:11" s="3" customFormat="1" ht="15" customHeight="1" x14ac:dyDescent="0.25">
      <c r="A243" s="3" t="s">
        <v>750</v>
      </c>
      <c r="B243" s="3" t="s">
        <v>751</v>
      </c>
      <c r="C243" s="3" t="s">
        <v>750</v>
      </c>
      <c r="D243" s="3" t="s">
        <v>752</v>
      </c>
      <c r="E243" s="3" t="s">
        <v>753</v>
      </c>
      <c r="F243" s="3" t="s">
        <v>6</v>
      </c>
      <c r="G243" s="6">
        <v>287594466.27999997</v>
      </c>
      <c r="H243" s="6">
        <v>757524.95</v>
      </c>
      <c r="I243" s="6">
        <v>30114.04</v>
      </c>
      <c r="J243" s="6">
        <f t="shared" si="3"/>
        <v>727410.90999999992</v>
      </c>
      <c r="K243" s="3">
        <v>0.26</v>
      </c>
    </row>
    <row r="244" spans="1:11" s="3" customFormat="1" ht="15" customHeight="1" x14ac:dyDescent="0.25">
      <c r="A244" s="3" t="s">
        <v>754</v>
      </c>
      <c r="B244" s="3" t="s">
        <v>755</v>
      </c>
      <c r="C244" s="3" t="s">
        <v>754</v>
      </c>
      <c r="D244" s="3" t="s">
        <v>756</v>
      </c>
      <c r="E244" s="3" t="s">
        <v>757</v>
      </c>
      <c r="F244" s="3" t="s">
        <v>6</v>
      </c>
      <c r="G244" s="6">
        <v>2309599962.23</v>
      </c>
      <c r="H244" s="6">
        <v>2717317.83</v>
      </c>
      <c r="I244" s="6">
        <v>4007.42</v>
      </c>
      <c r="J244" s="6">
        <f t="shared" si="3"/>
        <v>2713310.41</v>
      </c>
      <c r="K244" s="3">
        <v>0.11</v>
      </c>
    </row>
    <row r="245" spans="1:11" s="3" customFormat="1" ht="15" customHeight="1" x14ac:dyDescent="0.25">
      <c r="A245" s="3" t="s">
        <v>754</v>
      </c>
      <c r="B245" s="3" t="s">
        <v>758</v>
      </c>
      <c r="C245" s="3" t="s">
        <v>759</v>
      </c>
      <c r="D245" s="3" t="s">
        <v>760</v>
      </c>
      <c r="E245" s="3" t="s">
        <v>757</v>
      </c>
      <c r="F245" s="3" t="s">
        <v>6</v>
      </c>
      <c r="G245" s="6">
        <v>974147454.99000001</v>
      </c>
      <c r="H245" s="6">
        <v>1493797.25</v>
      </c>
      <c r="I245" s="6">
        <v>1012594.44</v>
      </c>
      <c r="J245" s="6">
        <f t="shared" si="3"/>
        <v>481202.81000000006</v>
      </c>
      <c r="K245" s="3">
        <v>0.15</v>
      </c>
    </row>
    <row r="246" spans="1:11" s="3" customFormat="1" ht="15" customHeight="1" x14ac:dyDescent="0.25">
      <c r="A246" s="3" t="s">
        <v>754</v>
      </c>
      <c r="B246" s="3" t="s">
        <v>761</v>
      </c>
      <c r="C246" s="3" t="s">
        <v>762</v>
      </c>
      <c r="D246" s="3" t="s">
        <v>763</v>
      </c>
      <c r="E246" s="3" t="s">
        <v>757</v>
      </c>
      <c r="F246" s="3" t="s">
        <v>6</v>
      </c>
      <c r="G246" s="6">
        <v>332874053.11000001</v>
      </c>
      <c r="H246" s="6">
        <v>1113629.7</v>
      </c>
      <c r="I246" s="6">
        <v>869673.16</v>
      </c>
      <c r="J246" s="6">
        <f t="shared" si="3"/>
        <v>243956.53999999992</v>
      </c>
      <c r="K246" s="3">
        <v>0.33</v>
      </c>
    </row>
    <row r="247" spans="1:11" s="3" customFormat="1" ht="15" customHeight="1" x14ac:dyDescent="0.25">
      <c r="A247" s="3" t="s">
        <v>764</v>
      </c>
      <c r="B247" s="3" t="s">
        <v>765</v>
      </c>
      <c r="C247" s="3" t="s">
        <v>766</v>
      </c>
      <c r="D247" s="3" t="s">
        <v>767</v>
      </c>
      <c r="E247" s="3" t="s">
        <v>768</v>
      </c>
      <c r="F247" s="3" t="s">
        <v>192</v>
      </c>
      <c r="G247" s="6">
        <v>1324388654.28</v>
      </c>
      <c r="H247" s="6">
        <v>1829459.58</v>
      </c>
      <c r="I247" s="6">
        <v>1280624.42</v>
      </c>
      <c r="J247" s="6">
        <f t="shared" si="3"/>
        <v>548835.16000000015</v>
      </c>
      <c r="K247" s="3">
        <v>0.13</v>
      </c>
    </row>
    <row r="248" spans="1:11" s="3" customFormat="1" ht="15" customHeight="1" x14ac:dyDescent="0.25">
      <c r="A248" s="3" t="s">
        <v>769</v>
      </c>
      <c r="B248" s="3" t="s">
        <v>770</v>
      </c>
      <c r="C248" s="3" t="s">
        <v>769</v>
      </c>
      <c r="D248" s="3" t="s">
        <v>771</v>
      </c>
      <c r="E248" s="3" t="s">
        <v>772</v>
      </c>
      <c r="F248" s="3" t="s">
        <v>6</v>
      </c>
      <c r="G248" s="6">
        <v>14979847680.700001</v>
      </c>
      <c r="H248" s="6">
        <v>3214639.17</v>
      </c>
      <c r="I248" s="6">
        <v>184243.64</v>
      </c>
      <c r="J248" s="6">
        <f t="shared" si="3"/>
        <v>3030395.53</v>
      </c>
      <c r="K248" s="3">
        <v>0.02</v>
      </c>
    </row>
    <row r="249" spans="1:11" s="3" customFormat="1" ht="15" customHeight="1" x14ac:dyDescent="0.25">
      <c r="A249" s="3" t="s">
        <v>773</v>
      </c>
      <c r="B249" s="3" t="s">
        <v>774</v>
      </c>
      <c r="C249" s="3" t="s">
        <v>773</v>
      </c>
      <c r="D249" s="3" t="s">
        <v>775</v>
      </c>
      <c r="E249" s="3" t="s">
        <v>776</v>
      </c>
      <c r="F249" s="3" t="s">
        <v>6</v>
      </c>
      <c r="G249" s="6">
        <v>805434584.11000001</v>
      </c>
      <c r="H249" s="6">
        <v>1005355.44</v>
      </c>
      <c r="I249" s="6">
        <v>198.46</v>
      </c>
      <c r="J249" s="6">
        <f t="shared" si="3"/>
        <v>1005156.98</v>
      </c>
      <c r="K249" s="3">
        <v>0.12</v>
      </c>
    </row>
    <row r="250" spans="1:11" s="3" customFormat="1" ht="15" customHeight="1" x14ac:dyDescent="0.25">
      <c r="A250" s="3" t="s">
        <v>773</v>
      </c>
      <c r="B250" s="3" t="s">
        <v>777</v>
      </c>
      <c r="C250" s="3" t="s">
        <v>778</v>
      </c>
      <c r="D250" s="3" t="s">
        <v>779</v>
      </c>
      <c r="E250" s="3" t="s">
        <v>776</v>
      </c>
      <c r="F250" s="3" t="s">
        <v>6</v>
      </c>
      <c r="G250" s="6">
        <v>29002347.18</v>
      </c>
      <c r="H250" s="6">
        <v>91282.68</v>
      </c>
      <c r="I250" s="6">
        <v>58919.33</v>
      </c>
      <c r="J250" s="6">
        <f t="shared" si="3"/>
        <v>32363.349999999991</v>
      </c>
      <c r="K250" s="3">
        <v>0.31</v>
      </c>
    </row>
    <row r="251" spans="1:11" s="3" customFormat="1" ht="15" customHeight="1" x14ac:dyDescent="0.25">
      <c r="A251" s="3" t="s">
        <v>780</v>
      </c>
      <c r="B251" s="3" t="s">
        <v>781</v>
      </c>
      <c r="C251" s="3" t="s">
        <v>780</v>
      </c>
      <c r="D251" s="3" t="s">
        <v>782</v>
      </c>
      <c r="E251" s="3" t="s">
        <v>783</v>
      </c>
      <c r="F251" s="3" t="s">
        <v>6</v>
      </c>
      <c r="G251" s="6">
        <v>875564540.12</v>
      </c>
      <c r="H251" s="6">
        <v>1321950.73</v>
      </c>
      <c r="I251" s="6">
        <v>21407.29</v>
      </c>
      <c r="J251" s="6">
        <f t="shared" si="3"/>
        <v>1300543.44</v>
      </c>
      <c r="K251" s="3">
        <v>0.15</v>
      </c>
    </row>
    <row r="252" spans="1:11" s="3" customFormat="1" ht="15" customHeight="1" x14ac:dyDescent="0.25">
      <c r="A252" s="3" t="s">
        <v>780</v>
      </c>
      <c r="B252" s="3" t="s">
        <v>784</v>
      </c>
      <c r="C252" s="3" t="s">
        <v>785</v>
      </c>
      <c r="D252" s="3" t="s">
        <v>786</v>
      </c>
      <c r="E252" s="3" t="s">
        <v>783</v>
      </c>
      <c r="F252" s="3" t="s">
        <v>6</v>
      </c>
      <c r="G252" s="6">
        <v>2170270.2799999998</v>
      </c>
      <c r="H252" s="6">
        <v>20672.14</v>
      </c>
      <c r="I252" s="6">
        <v>6594.74</v>
      </c>
      <c r="J252" s="6">
        <f t="shared" si="3"/>
        <v>14077.4</v>
      </c>
      <c r="K252" s="3">
        <v>0.95</v>
      </c>
    </row>
    <row r="253" spans="1:11" s="3" customFormat="1" ht="15" customHeight="1" x14ac:dyDescent="0.25">
      <c r="A253" s="3" t="s">
        <v>787</v>
      </c>
      <c r="B253" s="3" t="s">
        <v>788</v>
      </c>
      <c r="C253" s="3" t="s">
        <v>787</v>
      </c>
      <c r="D253" s="3" t="s">
        <v>789</v>
      </c>
      <c r="E253" s="3" t="s">
        <v>19</v>
      </c>
      <c r="F253" s="3" t="s">
        <v>20</v>
      </c>
      <c r="G253" s="6">
        <v>1021432983.24</v>
      </c>
      <c r="H253" s="6">
        <v>1866759.87</v>
      </c>
      <c r="I253" s="6">
        <v>384355.47</v>
      </c>
      <c r="J253" s="6">
        <f t="shared" si="3"/>
        <v>1482404.4000000001</v>
      </c>
      <c r="K253" s="3">
        <v>0.18</v>
      </c>
    </row>
    <row r="254" spans="1:11" s="3" customFormat="1" ht="15" customHeight="1" x14ac:dyDescent="0.25">
      <c r="A254" s="3" t="s">
        <v>790</v>
      </c>
      <c r="B254" s="3" t="s">
        <v>17</v>
      </c>
      <c r="C254" s="3" t="s">
        <v>791</v>
      </c>
      <c r="D254" s="3" t="s">
        <v>792</v>
      </c>
      <c r="E254" s="3" t="s">
        <v>790</v>
      </c>
      <c r="F254" s="3" t="s">
        <v>6</v>
      </c>
      <c r="G254" s="6">
        <v>1049956523.23</v>
      </c>
      <c r="H254" s="6">
        <v>1469030.39</v>
      </c>
      <c r="I254" s="6">
        <v>1027467.79</v>
      </c>
      <c r="J254" s="6">
        <f t="shared" si="3"/>
        <v>441562.59999999986</v>
      </c>
      <c r="K254" s="3">
        <v>0.13</v>
      </c>
    </row>
    <row r="255" spans="1:11" s="3" customFormat="1" ht="15" customHeight="1" x14ac:dyDescent="0.25">
      <c r="A255" s="3" t="s">
        <v>793</v>
      </c>
      <c r="B255" s="3" t="s">
        <v>794</v>
      </c>
      <c r="C255" s="3" t="s">
        <v>793</v>
      </c>
      <c r="D255" s="3" t="s">
        <v>795</v>
      </c>
      <c r="E255" s="3" t="s">
        <v>796</v>
      </c>
      <c r="F255" s="3" t="s">
        <v>6</v>
      </c>
      <c r="G255" s="6">
        <v>172164325.44</v>
      </c>
      <c r="H255" s="6">
        <v>295846.15999999997</v>
      </c>
      <c r="I255" s="6">
        <v>0</v>
      </c>
      <c r="J255" s="6">
        <f t="shared" si="3"/>
        <v>295846.15999999997</v>
      </c>
      <c r="K255" s="3">
        <v>0.17</v>
      </c>
    </row>
    <row r="256" spans="1:11" s="3" customFormat="1" ht="15" customHeight="1" x14ac:dyDescent="0.25">
      <c r="A256" s="3" t="s">
        <v>797</v>
      </c>
      <c r="B256" s="3" t="s">
        <v>17</v>
      </c>
      <c r="C256" s="3" t="s">
        <v>798</v>
      </c>
      <c r="D256" s="3" t="s">
        <v>799</v>
      </c>
      <c r="E256" s="3" t="s">
        <v>797</v>
      </c>
      <c r="F256" s="3" t="s">
        <v>6</v>
      </c>
      <c r="G256" s="6">
        <v>3281137423.7399998</v>
      </c>
      <c r="H256" s="6">
        <v>3438745.38</v>
      </c>
      <c r="I256" s="6">
        <v>2407132.12</v>
      </c>
      <c r="J256" s="6">
        <f t="shared" si="3"/>
        <v>1031613.2599999998</v>
      </c>
      <c r="K256" s="3">
        <v>0.1</v>
      </c>
    </row>
    <row r="257" spans="1:11" s="3" customFormat="1" ht="15" customHeight="1" x14ac:dyDescent="0.25">
      <c r="A257" s="3" t="s">
        <v>800</v>
      </c>
      <c r="B257" s="3" t="s">
        <v>17</v>
      </c>
      <c r="C257" s="3" t="s">
        <v>801</v>
      </c>
      <c r="D257" s="3" t="s">
        <v>802</v>
      </c>
      <c r="E257" s="3" t="s">
        <v>800</v>
      </c>
      <c r="F257" s="3" t="s">
        <v>6</v>
      </c>
      <c r="G257" s="6">
        <v>1360572119.24</v>
      </c>
      <c r="H257" s="6">
        <v>3128419.05</v>
      </c>
      <c r="I257" s="6">
        <v>2432835.19</v>
      </c>
      <c r="J257" s="6">
        <f t="shared" si="3"/>
        <v>695583.85999999987</v>
      </c>
      <c r="K257" s="3">
        <v>0.22</v>
      </c>
    </row>
    <row r="258" spans="1:11" s="3" customFormat="1" ht="15" customHeight="1" x14ac:dyDescent="0.25">
      <c r="A258" s="3" t="s">
        <v>803</v>
      </c>
      <c r="B258" s="3" t="s">
        <v>804</v>
      </c>
      <c r="C258" s="3" t="s">
        <v>803</v>
      </c>
      <c r="D258" s="3" t="s">
        <v>805</v>
      </c>
      <c r="E258" s="3" t="s">
        <v>806</v>
      </c>
      <c r="F258" s="3" t="s">
        <v>6</v>
      </c>
      <c r="G258" s="6">
        <v>263237406.25</v>
      </c>
      <c r="H258" s="6">
        <v>591165.44999999995</v>
      </c>
      <c r="I258" s="6">
        <v>0</v>
      </c>
      <c r="J258" s="6">
        <f t="shared" si="3"/>
        <v>591165.44999999995</v>
      </c>
      <c r="K258" s="3">
        <v>0.22</v>
      </c>
    </row>
    <row r="259" spans="1:11" s="3" customFormat="1" ht="15" customHeight="1" x14ac:dyDescent="0.25">
      <c r="A259" s="3" t="s">
        <v>807</v>
      </c>
      <c r="B259" s="3" t="s">
        <v>808</v>
      </c>
      <c r="C259" s="3" t="s">
        <v>807</v>
      </c>
      <c r="D259" s="3" t="s">
        <v>809</v>
      </c>
      <c r="E259" s="3" t="s">
        <v>810</v>
      </c>
      <c r="F259" s="3" t="s">
        <v>6</v>
      </c>
      <c r="G259" s="6">
        <v>602185223</v>
      </c>
      <c r="H259" s="6">
        <v>1095707.69</v>
      </c>
      <c r="I259" s="6">
        <v>0</v>
      </c>
      <c r="J259" s="6">
        <f t="shared" si="3"/>
        <v>1095707.69</v>
      </c>
      <c r="K259" s="3">
        <v>0.18</v>
      </c>
    </row>
    <row r="260" spans="1:11" s="3" customFormat="1" ht="15" customHeight="1" x14ac:dyDescent="0.25">
      <c r="A260" s="3" t="s">
        <v>811</v>
      </c>
      <c r="B260" s="3" t="s">
        <v>812</v>
      </c>
      <c r="C260" s="3" t="s">
        <v>811</v>
      </c>
      <c r="D260" s="3" t="s">
        <v>813</v>
      </c>
      <c r="E260" s="3" t="s">
        <v>814</v>
      </c>
      <c r="F260" s="3" t="s">
        <v>6</v>
      </c>
      <c r="G260" s="6">
        <v>2020255922.8900001</v>
      </c>
      <c r="H260" s="6">
        <v>2331758.67</v>
      </c>
      <c r="I260" s="6">
        <v>612.6</v>
      </c>
      <c r="J260" s="6">
        <f t="shared" ref="J260:J323" si="4">H260-I260</f>
        <v>2331146.0699999998</v>
      </c>
      <c r="K260" s="3">
        <v>0.11</v>
      </c>
    </row>
    <row r="261" spans="1:11" s="3" customFormat="1" ht="15" customHeight="1" x14ac:dyDescent="0.25">
      <c r="A261" s="3" t="s">
        <v>811</v>
      </c>
      <c r="B261" s="3" t="s">
        <v>815</v>
      </c>
      <c r="C261" s="3" t="s">
        <v>816</v>
      </c>
      <c r="D261" s="3" t="s">
        <v>817</v>
      </c>
      <c r="E261" s="3" t="s">
        <v>814</v>
      </c>
      <c r="F261" s="3" t="s">
        <v>6</v>
      </c>
      <c r="G261" s="6">
        <v>785970747.13</v>
      </c>
      <c r="H261" s="6">
        <v>1178739.8999999999</v>
      </c>
      <c r="I261" s="6">
        <v>773759.04</v>
      </c>
      <c r="J261" s="6">
        <f t="shared" si="4"/>
        <v>404980.85999999987</v>
      </c>
      <c r="K261" s="3">
        <v>0.14000000000000001</v>
      </c>
    </row>
    <row r="262" spans="1:11" s="3" customFormat="1" ht="15" customHeight="1" x14ac:dyDescent="0.25">
      <c r="A262" s="3" t="s">
        <v>811</v>
      </c>
      <c r="B262" s="3" t="s">
        <v>818</v>
      </c>
      <c r="C262" s="3" t="s">
        <v>819</v>
      </c>
      <c r="D262" s="3" t="s">
        <v>820</v>
      </c>
      <c r="E262" s="3" t="s">
        <v>821</v>
      </c>
      <c r="F262" s="3" t="s">
        <v>6</v>
      </c>
      <c r="G262" s="6">
        <v>229504037.41</v>
      </c>
      <c r="H262" s="6">
        <v>864076.52</v>
      </c>
      <c r="I262" s="6">
        <v>671862.14</v>
      </c>
      <c r="J262" s="6">
        <f t="shared" si="4"/>
        <v>192214.38</v>
      </c>
      <c r="K262" s="3">
        <v>0.37</v>
      </c>
    </row>
    <row r="263" spans="1:11" s="3" customFormat="1" ht="15" customHeight="1" x14ac:dyDescent="0.25">
      <c r="A263" s="3" t="s">
        <v>811</v>
      </c>
      <c r="B263" s="3" t="s">
        <v>822</v>
      </c>
      <c r="C263" s="3" t="s">
        <v>823</v>
      </c>
      <c r="D263" s="3" t="s">
        <v>824</v>
      </c>
      <c r="E263" s="3" t="s">
        <v>814</v>
      </c>
      <c r="F263" s="3" t="s">
        <v>6</v>
      </c>
      <c r="G263" s="6">
        <v>201839057.28999999</v>
      </c>
      <c r="H263" s="6">
        <v>481300.41</v>
      </c>
      <c r="I263" s="6">
        <v>353748.65</v>
      </c>
      <c r="J263" s="6">
        <f t="shared" si="4"/>
        <v>127551.75999999995</v>
      </c>
      <c r="K263" s="3">
        <v>0.23</v>
      </c>
    </row>
    <row r="264" spans="1:11" s="3" customFormat="1" ht="15" customHeight="1" x14ac:dyDescent="0.25">
      <c r="A264" s="3" t="s">
        <v>811</v>
      </c>
      <c r="B264" s="3" t="s">
        <v>825</v>
      </c>
      <c r="C264" s="3" t="s">
        <v>826</v>
      </c>
      <c r="D264" s="3" t="s">
        <v>827</v>
      </c>
      <c r="E264" s="3" t="s">
        <v>814</v>
      </c>
      <c r="F264" s="3" t="s">
        <v>6</v>
      </c>
      <c r="G264" s="6">
        <v>177865825.56999999</v>
      </c>
      <c r="H264" s="6">
        <v>477584.31</v>
      </c>
      <c r="I264" s="6">
        <v>366206.76</v>
      </c>
      <c r="J264" s="6">
        <f t="shared" si="4"/>
        <v>111377.54999999999</v>
      </c>
      <c r="K264" s="3">
        <v>0.26</v>
      </c>
    </row>
    <row r="265" spans="1:11" s="3" customFormat="1" ht="15" customHeight="1" x14ac:dyDescent="0.25">
      <c r="A265" s="3" t="s">
        <v>811</v>
      </c>
      <c r="B265" s="3" t="s">
        <v>828</v>
      </c>
      <c r="C265" s="3" t="s">
        <v>829</v>
      </c>
      <c r="D265" s="3" t="s">
        <v>830</v>
      </c>
      <c r="E265" s="3" t="s">
        <v>814</v>
      </c>
      <c r="F265" s="3" t="s">
        <v>6</v>
      </c>
      <c r="G265" s="6">
        <v>157142351.22999999</v>
      </c>
      <c r="H265" s="6">
        <v>246894.05</v>
      </c>
      <c r="I265" s="6">
        <v>184890.71</v>
      </c>
      <c r="J265" s="6">
        <f t="shared" si="4"/>
        <v>62003.34</v>
      </c>
      <c r="K265" s="3">
        <v>0.15</v>
      </c>
    </row>
    <row r="266" spans="1:11" s="3" customFormat="1" ht="15" customHeight="1" x14ac:dyDescent="0.25">
      <c r="A266" s="3" t="s">
        <v>811</v>
      </c>
      <c r="B266" s="3" t="s">
        <v>831</v>
      </c>
      <c r="C266" s="3" t="s">
        <v>832</v>
      </c>
      <c r="D266" s="3" t="s">
        <v>833</v>
      </c>
      <c r="E266" s="3" t="s">
        <v>814</v>
      </c>
      <c r="F266" s="3" t="s">
        <v>6</v>
      </c>
      <c r="G266" s="6">
        <v>9451239.1999999993</v>
      </c>
      <c r="H266" s="6">
        <v>17612.91</v>
      </c>
      <c r="I266" s="6">
        <v>11335.97</v>
      </c>
      <c r="J266" s="6">
        <f t="shared" si="4"/>
        <v>6276.9400000000005</v>
      </c>
      <c r="K266" s="3">
        <v>0.18</v>
      </c>
    </row>
    <row r="267" spans="1:11" s="3" customFormat="1" ht="15" customHeight="1" x14ac:dyDescent="0.25">
      <c r="A267" s="3" t="s">
        <v>834</v>
      </c>
      <c r="B267" s="3" t="s">
        <v>835</v>
      </c>
      <c r="C267" s="3" t="s">
        <v>834</v>
      </c>
      <c r="D267" s="3" t="s">
        <v>836</v>
      </c>
      <c r="E267" s="3" t="s">
        <v>814</v>
      </c>
      <c r="F267" s="3" t="s">
        <v>6</v>
      </c>
      <c r="G267" s="6">
        <v>1040416846.77</v>
      </c>
      <c r="H267" s="6">
        <v>988806.76</v>
      </c>
      <c r="I267" s="6">
        <v>11267.67</v>
      </c>
      <c r="J267" s="6">
        <f t="shared" si="4"/>
        <v>977539.09</v>
      </c>
      <c r="K267" s="3">
        <v>0.09</v>
      </c>
    </row>
    <row r="268" spans="1:11" s="3" customFormat="1" ht="15" customHeight="1" x14ac:dyDescent="0.25">
      <c r="A268" s="3" t="s">
        <v>837</v>
      </c>
      <c r="B268" s="3" t="s">
        <v>17</v>
      </c>
      <c r="C268" s="3" t="s">
        <v>837</v>
      </c>
      <c r="D268" s="3" t="s">
        <v>838</v>
      </c>
      <c r="E268" s="3" t="s">
        <v>839</v>
      </c>
      <c r="F268" s="3" t="s">
        <v>6</v>
      </c>
      <c r="G268" s="6">
        <v>1011068720.8200001</v>
      </c>
      <c r="H268" s="6">
        <v>1549923.6</v>
      </c>
      <c r="I268" s="6">
        <v>0</v>
      </c>
      <c r="J268" s="6">
        <f t="shared" si="4"/>
        <v>1549923.6</v>
      </c>
      <c r="K268" s="3">
        <v>0.15</v>
      </c>
    </row>
    <row r="269" spans="1:11" s="3" customFormat="1" ht="15" customHeight="1" x14ac:dyDescent="0.25">
      <c r="A269" s="3" t="s">
        <v>840</v>
      </c>
      <c r="B269" s="3" t="s">
        <v>841</v>
      </c>
      <c r="C269" s="3" t="s">
        <v>840</v>
      </c>
      <c r="D269" s="3" t="s">
        <v>842</v>
      </c>
      <c r="E269" s="3" t="s">
        <v>843</v>
      </c>
      <c r="F269" s="3" t="s">
        <v>6</v>
      </c>
      <c r="G269" s="6">
        <v>857153562.69000006</v>
      </c>
      <c r="H269" s="6">
        <v>816813.82</v>
      </c>
      <c r="I269" s="6">
        <v>13419.9</v>
      </c>
      <c r="J269" s="6">
        <f t="shared" si="4"/>
        <v>803393.91999999993</v>
      </c>
      <c r="K269" s="3">
        <v>0.09</v>
      </c>
    </row>
    <row r="270" spans="1:11" s="3" customFormat="1" ht="15" customHeight="1" x14ac:dyDescent="0.25">
      <c r="A270" s="3" t="s">
        <v>844</v>
      </c>
      <c r="B270" s="3" t="s">
        <v>845</v>
      </c>
      <c r="C270" s="3" t="s">
        <v>844</v>
      </c>
      <c r="D270" s="3" t="s">
        <v>846</v>
      </c>
      <c r="E270" s="3" t="s">
        <v>847</v>
      </c>
      <c r="F270" s="3" t="s">
        <v>6</v>
      </c>
      <c r="G270" s="6">
        <v>1182527350.8599999</v>
      </c>
      <c r="H270" s="6">
        <v>2271457.84</v>
      </c>
      <c r="I270" s="6">
        <v>0</v>
      </c>
      <c r="J270" s="6">
        <f t="shared" si="4"/>
        <v>2271457.84</v>
      </c>
      <c r="K270" s="3">
        <v>0.19</v>
      </c>
    </row>
    <row r="271" spans="1:11" s="3" customFormat="1" ht="15" customHeight="1" x14ac:dyDescent="0.25">
      <c r="A271" s="3" t="s">
        <v>848</v>
      </c>
      <c r="B271" s="3" t="s">
        <v>849</v>
      </c>
      <c r="C271" s="3" t="s">
        <v>848</v>
      </c>
      <c r="D271" s="3" t="s">
        <v>850</v>
      </c>
      <c r="E271" s="3" t="s">
        <v>851</v>
      </c>
      <c r="F271" s="3" t="s">
        <v>6</v>
      </c>
      <c r="G271" s="6">
        <v>839946585.64999998</v>
      </c>
      <c r="H271" s="6">
        <v>948071.35</v>
      </c>
      <c r="I271" s="6">
        <v>30295.38</v>
      </c>
      <c r="J271" s="6">
        <f t="shared" si="4"/>
        <v>917775.97</v>
      </c>
      <c r="K271" s="3">
        <v>0.11</v>
      </c>
    </row>
    <row r="272" spans="1:11" s="3" customFormat="1" ht="15" customHeight="1" x14ac:dyDescent="0.25">
      <c r="A272" s="3" t="s">
        <v>848</v>
      </c>
      <c r="B272" s="3" t="s">
        <v>852</v>
      </c>
      <c r="C272" s="3" t="s">
        <v>853</v>
      </c>
      <c r="D272" s="3" t="s">
        <v>854</v>
      </c>
      <c r="E272" s="3" t="s">
        <v>851</v>
      </c>
      <c r="F272" s="3" t="s">
        <v>6</v>
      </c>
      <c r="G272" s="6">
        <v>332710536.30000001</v>
      </c>
      <c r="H272" s="6">
        <v>633836.91</v>
      </c>
      <c r="I272" s="6">
        <v>443690.28</v>
      </c>
      <c r="J272" s="6">
        <f t="shared" si="4"/>
        <v>190146.63</v>
      </c>
      <c r="K272" s="3">
        <v>0.19</v>
      </c>
    </row>
    <row r="273" spans="1:11" s="3" customFormat="1" ht="15" customHeight="1" x14ac:dyDescent="0.25">
      <c r="A273" s="3" t="s">
        <v>848</v>
      </c>
      <c r="B273" s="3" t="s">
        <v>855</v>
      </c>
      <c r="C273" s="3" t="s">
        <v>856</v>
      </c>
      <c r="D273" s="3" t="s">
        <v>857</v>
      </c>
      <c r="E273" s="3" t="s">
        <v>851</v>
      </c>
      <c r="F273" s="3" t="s">
        <v>6</v>
      </c>
      <c r="G273" s="6">
        <v>99254143</v>
      </c>
      <c r="H273" s="6">
        <v>103058.53</v>
      </c>
      <c r="I273" s="6">
        <v>71211.11</v>
      </c>
      <c r="J273" s="6">
        <f t="shared" si="4"/>
        <v>31847.42</v>
      </c>
      <c r="K273" s="3">
        <v>0.1</v>
      </c>
    </row>
    <row r="274" spans="1:11" s="3" customFormat="1" ht="15" customHeight="1" x14ac:dyDescent="0.25">
      <c r="A274" s="3" t="s">
        <v>848</v>
      </c>
      <c r="B274" s="3" t="s">
        <v>858</v>
      </c>
      <c r="C274" s="3" t="s">
        <v>859</v>
      </c>
      <c r="D274" s="3" t="s">
        <v>860</v>
      </c>
      <c r="E274" s="3" t="s">
        <v>861</v>
      </c>
      <c r="F274" s="3" t="s">
        <v>6</v>
      </c>
      <c r="G274" s="6">
        <v>22146508.07</v>
      </c>
      <c r="H274" s="6">
        <v>47783.199999999997</v>
      </c>
      <c r="I274" s="6">
        <v>31275.72</v>
      </c>
      <c r="J274" s="6">
        <f t="shared" si="4"/>
        <v>16507.479999999996</v>
      </c>
      <c r="K274" s="3">
        <v>0.21</v>
      </c>
    </row>
    <row r="275" spans="1:11" s="3" customFormat="1" ht="15" customHeight="1" x14ac:dyDescent="0.25">
      <c r="A275" s="3" t="s">
        <v>862</v>
      </c>
      <c r="B275" s="3" t="s">
        <v>863</v>
      </c>
      <c r="C275" s="3" t="s">
        <v>862</v>
      </c>
      <c r="D275" s="3" t="s">
        <v>864</v>
      </c>
      <c r="E275" s="3" t="s">
        <v>865</v>
      </c>
      <c r="F275" s="3" t="s">
        <v>6</v>
      </c>
      <c r="G275" s="6">
        <v>1200276373.72</v>
      </c>
      <c r="H275" s="6">
        <v>1453536.43</v>
      </c>
      <c r="I275" s="6">
        <v>2334.48</v>
      </c>
      <c r="J275" s="6">
        <f t="shared" si="4"/>
        <v>1451201.95</v>
      </c>
      <c r="K275" s="3">
        <v>0.12</v>
      </c>
    </row>
    <row r="276" spans="1:11" s="3" customFormat="1" ht="15" customHeight="1" x14ac:dyDescent="0.25">
      <c r="A276" s="3" t="s">
        <v>862</v>
      </c>
      <c r="B276" s="3" t="s">
        <v>866</v>
      </c>
      <c r="C276" s="3" t="s">
        <v>867</v>
      </c>
      <c r="D276" s="3" t="s">
        <v>868</v>
      </c>
      <c r="E276" s="3" t="s">
        <v>797</v>
      </c>
      <c r="F276" s="3" t="s">
        <v>6</v>
      </c>
      <c r="G276" s="6">
        <v>64395671.829999998</v>
      </c>
      <c r="H276" s="6">
        <v>512169.53</v>
      </c>
      <c r="I276" s="6">
        <v>421461.47</v>
      </c>
      <c r="J276" s="6">
        <f t="shared" si="4"/>
        <v>90708.060000000056</v>
      </c>
      <c r="K276" s="3">
        <v>0.79</v>
      </c>
    </row>
    <row r="277" spans="1:11" s="3" customFormat="1" ht="15" customHeight="1" x14ac:dyDescent="0.25">
      <c r="A277" s="3" t="s">
        <v>869</v>
      </c>
      <c r="B277" s="3" t="s">
        <v>17</v>
      </c>
      <c r="C277" s="3" t="s">
        <v>869</v>
      </c>
      <c r="D277" s="3" t="s">
        <v>870</v>
      </c>
      <c r="E277" s="3" t="s">
        <v>871</v>
      </c>
      <c r="F277" s="3" t="s">
        <v>6</v>
      </c>
      <c r="G277" s="6">
        <v>4502237043.1899996</v>
      </c>
      <c r="H277" s="6">
        <v>5155844.37</v>
      </c>
      <c r="I277" s="6">
        <v>0</v>
      </c>
      <c r="J277" s="6">
        <f t="shared" si="4"/>
        <v>5155844.37</v>
      </c>
      <c r="K277" s="3">
        <v>0.11</v>
      </c>
    </row>
    <row r="278" spans="1:11" s="3" customFormat="1" ht="15" customHeight="1" x14ac:dyDescent="0.25">
      <c r="A278" s="3" t="s">
        <v>869</v>
      </c>
      <c r="B278" s="3" t="s">
        <v>17</v>
      </c>
      <c r="C278" s="3" t="s">
        <v>872</v>
      </c>
      <c r="D278" s="3" t="s">
        <v>873</v>
      </c>
      <c r="E278" s="3" t="s">
        <v>871</v>
      </c>
      <c r="F278" s="3" t="s">
        <v>6</v>
      </c>
      <c r="G278" s="6">
        <v>2990760846.3899999</v>
      </c>
      <c r="H278" s="6">
        <v>4485383.84</v>
      </c>
      <c r="I278" s="6">
        <v>3286356.64</v>
      </c>
      <c r="J278" s="6">
        <f t="shared" si="4"/>
        <v>1199027.1999999997</v>
      </c>
      <c r="K278" s="3">
        <v>0.14000000000000001</v>
      </c>
    </row>
    <row r="279" spans="1:11" s="3" customFormat="1" ht="15" customHeight="1" x14ac:dyDescent="0.25">
      <c r="A279" s="3" t="s">
        <v>869</v>
      </c>
      <c r="B279" s="3" t="s">
        <v>874</v>
      </c>
      <c r="C279" s="3" t="s">
        <v>875</v>
      </c>
      <c r="D279" s="3" t="s">
        <v>876</v>
      </c>
      <c r="E279" s="3" t="s">
        <v>871</v>
      </c>
      <c r="F279" s="3" t="s">
        <v>6</v>
      </c>
      <c r="G279" s="6">
        <v>791059304.60000002</v>
      </c>
      <c r="H279" s="6">
        <v>2276986.14</v>
      </c>
      <c r="I279" s="6">
        <v>1469449.73</v>
      </c>
      <c r="J279" s="6">
        <f t="shared" si="4"/>
        <v>807536.41000000015</v>
      </c>
      <c r="K279" s="3">
        <v>0.28000000000000003</v>
      </c>
    </row>
    <row r="280" spans="1:11" s="3" customFormat="1" ht="15" customHeight="1" x14ac:dyDescent="0.25">
      <c r="A280" s="3" t="s">
        <v>869</v>
      </c>
      <c r="B280" s="3" t="s">
        <v>877</v>
      </c>
      <c r="C280" s="3" t="s">
        <v>878</v>
      </c>
      <c r="D280" s="3" t="s">
        <v>879</v>
      </c>
      <c r="E280" s="3" t="s">
        <v>871</v>
      </c>
      <c r="F280" s="3" t="s">
        <v>6</v>
      </c>
      <c r="G280" s="6">
        <v>391410185.98000002</v>
      </c>
      <c r="H280" s="6">
        <v>1408871.99</v>
      </c>
      <c r="I280" s="6">
        <v>1050916.0900000001</v>
      </c>
      <c r="J280" s="6">
        <f t="shared" si="4"/>
        <v>357955.89999999991</v>
      </c>
      <c r="K280" s="3">
        <v>0.35</v>
      </c>
    </row>
    <row r="281" spans="1:11" s="3" customFormat="1" ht="15" customHeight="1" x14ac:dyDescent="0.25">
      <c r="A281" s="3" t="s">
        <v>869</v>
      </c>
      <c r="B281" s="3" t="s">
        <v>880</v>
      </c>
      <c r="C281" s="3" t="s">
        <v>881</v>
      </c>
      <c r="D281" s="3" t="s">
        <v>882</v>
      </c>
      <c r="E281" s="3" t="s">
        <v>871</v>
      </c>
      <c r="F281" s="3" t="s">
        <v>6</v>
      </c>
      <c r="G281" s="6">
        <v>68092499.150000006</v>
      </c>
      <c r="H281" s="6">
        <v>314162.67</v>
      </c>
      <c r="I281" s="6">
        <v>211256.77</v>
      </c>
      <c r="J281" s="6">
        <f t="shared" si="4"/>
        <v>102905.9</v>
      </c>
      <c r="K281" s="3">
        <v>0.46</v>
      </c>
    </row>
    <row r="282" spans="1:11" s="3" customFormat="1" ht="15" customHeight="1" x14ac:dyDescent="0.25">
      <c r="A282" s="3" t="s">
        <v>869</v>
      </c>
      <c r="B282" s="3" t="s">
        <v>883</v>
      </c>
      <c r="C282" s="3" t="s">
        <v>884</v>
      </c>
      <c r="D282" s="3" t="s">
        <v>885</v>
      </c>
      <c r="E282" s="3" t="s">
        <v>871</v>
      </c>
      <c r="F282" s="3" t="s">
        <v>6</v>
      </c>
      <c r="G282" s="6">
        <v>62315830.259999998</v>
      </c>
      <c r="H282" s="6">
        <v>185978.21</v>
      </c>
      <c r="I282" s="6">
        <v>46872.639999999999</v>
      </c>
      <c r="J282" s="6">
        <f t="shared" si="4"/>
        <v>139105.57</v>
      </c>
      <c r="K282" s="3">
        <v>0.28999999999999998</v>
      </c>
    </row>
    <row r="283" spans="1:11" s="3" customFormat="1" ht="15" customHeight="1" x14ac:dyDescent="0.25">
      <c r="A283" s="3" t="s">
        <v>886</v>
      </c>
      <c r="B283" s="3" t="s">
        <v>17</v>
      </c>
      <c r="C283" s="3" t="s">
        <v>886</v>
      </c>
      <c r="D283" s="3" t="s">
        <v>887</v>
      </c>
      <c r="E283" s="3" t="s">
        <v>888</v>
      </c>
      <c r="F283" s="3" t="s">
        <v>6</v>
      </c>
      <c r="G283" s="6">
        <v>2833001870.0799999</v>
      </c>
      <c r="H283" s="6">
        <v>3992541.25</v>
      </c>
      <c r="I283" s="6">
        <v>0</v>
      </c>
      <c r="J283" s="6">
        <f t="shared" si="4"/>
        <v>3992541.25</v>
      </c>
      <c r="K283" s="3">
        <v>0.14000000000000001</v>
      </c>
    </row>
    <row r="284" spans="1:11" s="3" customFormat="1" ht="15" customHeight="1" x14ac:dyDescent="0.25">
      <c r="A284" s="3" t="s">
        <v>886</v>
      </c>
      <c r="B284" s="3" t="s">
        <v>889</v>
      </c>
      <c r="C284" s="3" t="s">
        <v>890</v>
      </c>
      <c r="D284" s="3" t="s">
        <v>891</v>
      </c>
      <c r="E284" s="3" t="s">
        <v>892</v>
      </c>
      <c r="F284" s="3" t="s">
        <v>6</v>
      </c>
      <c r="G284" s="6">
        <v>1454123355.3099999</v>
      </c>
      <c r="H284" s="6">
        <v>1515194</v>
      </c>
      <c r="I284" s="6">
        <v>1108973.32</v>
      </c>
      <c r="J284" s="6">
        <f t="shared" si="4"/>
        <v>406220.67999999993</v>
      </c>
      <c r="K284" s="3">
        <v>0.1</v>
      </c>
    </row>
    <row r="285" spans="1:11" s="3" customFormat="1" ht="15" customHeight="1" x14ac:dyDescent="0.25">
      <c r="A285" s="3" t="s">
        <v>893</v>
      </c>
      <c r="B285" s="3" t="s">
        <v>894</v>
      </c>
      <c r="C285" s="3" t="s">
        <v>893</v>
      </c>
      <c r="D285" s="3" t="s">
        <v>895</v>
      </c>
      <c r="E285" s="3" t="s">
        <v>312</v>
      </c>
      <c r="F285" s="3" t="s">
        <v>6</v>
      </c>
      <c r="G285" s="6">
        <v>860526375.44000006</v>
      </c>
      <c r="H285" s="6">
        <v>2257615.94</v>
      </c>
      <c r="I285" s="6">
        <v>0</v>
      </c>
      <c r="J285" s="6">
        <f t="shared" si="4"/>
        <v>2257615.94</v>
      </c>
      <c r="K285" s="3">
        <v>0.26</v>
      </c>
    </row>
    <row r="286" spans="1:11" s="3" customFormat="1" ht="15" customHeight="1" x14ac:dyDescent="0.25">
      <c r="A286" s="3" t="s">
        <v>893</v>
      </c>
      <c r="B286" s="3" t="s">
        <v>896</v>
      </c>
      <c r="C286" s="3" t="s">
        <v>897</v>
      </c>
      <c r="D286" s="3" t="s">
        <v>898</v>
      </c>
      <c r="E286" s="3" t="s">
        <v>312</v>
      </c>
      <c r="F286" s="3" t="s">
        <v>6</v>
      </c>
      <c r="G286" s="6">
        <v>39560510.100000001</v>
      </c>
      <c r="H286" s="6">
        <v>260946.51</v>
      </c>
      <c r="I286" s="6">
        <v>142828.92000000001</v>
      </c>
      <c r="J286" s="6">
        <f t="shared" si="4"/>
        <v>118117.59</v>
      </c>
      <c r="K286" s="3">
        <v>0.65</v>
      </c>
    </row>
    <row r="287" spans="1:11" s="3" customFormat="1" ht="15" customHeight="1" x14ac:dyDescent="0.25">
      <c r="A287" s="3" t="s">
        <v>899</v>
      </c>
      <c r="B287" s="3" t="s">
        <v>900</v>
      </c>
      <c r="C287" s="3" t="s">
        <v>899</v>
      </c>
      <c r="D287" s="3" t="s">
        <v>901</v>
      </c>
      <c r="E287" s="3" t="s">
        <v>19</v>
      </c>
      <c r="F287" s="3" t="s">
        <v>20</v>
      </c>
      <c r="G287" s="6">
        <v>21681430538.419998</v>
      </c>
      <c r="H287" s="6">
        <v>15909972.130000001</v>
      </c>
      <c r="I287" s="6">
        <v>0</v>
      </c>
      <c r="J287" s="6">
        <f t="shared" si="4"/>
        <v>15909972.130000001</v>
      </c>
      <c r="K287" s="3">
        <v>7.0000000000000007E-2</v>
      </c>
    </row>
    <row r="288" spans="1:11" s="3" customFormat="1" ht="15" customHeight="1" x14ac:dyDescent="0.25">
      <c r="A288" s="3" t="s">
        <v>902</v>
      </c>
      <c r="B288" s="3" t="s">
        <v>903</v>
      </c>
      <c r="C288" s="3" t="s">
        <v>902</v>
      </c>
      <c r="D288" s="3" t="s">
        <v>904</v>
      </c>
      <c r="E288" s="3" t="s">
        <v>905</v>
      </c>
      <c r="F288" s="3" t="s">
        <v>6</v>
      </c>
      <c r="G288" s="6">
        <v>3426095845.25</v>
      </c>
      <c r="H288" s="6">
        <v>3680285.26</v>
      </c>
      <c r="I288" s="6">
        <v>0</v>
      </c>
      <c r="J288" s="6">
        <f t="shared" si="4"/>
        <v>3680285.26</v>
      </c>
      <c r="K288" s="3">
        <v>0.1</v>
      </c>
    </row>
    <row r="289" spans="1:11" s="3" customFormat="1" ht="15" customHeight="1" x14ac:dyDescent="0.25">
      <c r="A289" s="3" t="s">
        <v>902</v>
      </c>
      <c r="B289" s="3" t="s">
        <v>906</v>
      </c>
      <c r="C289" s="3" t="s">
        <v>907</v>
      </c>
      <c r="D289" s="3" t="s">
        <v>908</v>
      </c>
      <c r="E289" s="3" t="s">
        <v>905</v>
      </c>
      <c r="F289" s="3" t="s">
        <v>6</v>
      </c>
      <c r="G289" s="6">
        <v>1730922076.1900001</v>
      </c>
      <c r="H289" s="6">
        <v>4193067.48</v>
      </c>
      <c r="I289" s="6">
        <v>3129977.47</v>
      </c>
      <c r="J289" s="6">
        <f t="shared" si="4"/>
        <v>1063090.0099999998</v>
      </c>
      <c r="K289" s="3">
        <v>0.24</v>
      </c>
    </row>
    <row r="290" spans="1:11" s="3" customFormat="1" ht="15" customHeight="1" x14ac:dyDescent="0.25">
      <c r="A290" s="3" t="s">
        <v>902</v>
      </c>
      <c r="B290" s="3" t="s">
        <v>909</v>
      </c>
      <c r="C290" s="3" t="s">
        <v>910</v>
      </c>
      <c r="D290" s="3" t="s">
        <v>911</v>
      </c>
      <c r="E290" s="3" t="s">
        <v>76</v>
      </c>
      <c r="F290" s="3" t="s">
        <v>6</v>
      </c>
      <c r="G290" s="6">
        <v>489983204.44999999</v>
      </c>
      <c r="H290" s="6">
        <v>939847.59</v>
      </c>
      <c r="I290" s="6">
        <v>600999.57999999996</v>
      </c>
      <c r="J290" s="6">
        <f t="shared" si="4"/>
        <v>338848.01</v>
      </c>
      <c r="K290" s="3">
        <v>0.19</v>
      </c>
    </row>
    <row r="291" spans="1:11" s="3" customFormat="1" ht="15" customHeight="1" x14ac:dyDescent="0.25">
      <c r="A291" s="3" t="s">
        <v>902</v>
      </c>
      <c r="B291" s="3" t="s">
        <v>912</v>
      </c>
      <c r="C291" s="3" t="s">
        <v>913</v>
      </c>
      <c r="D291" s="3" t="s">
        <v>914</v>
      </c>
      <c r="E291" s="3" t="s">
        <v>905</v>
      </c>
      <c r="F291" s="3" t="s">
        <v>6</v>
      </c>
      <c r="G291" s="6">
        <v>487007038.63</v>
      </c>
      <c r="H291" s="6">
        <v>525367.36</v>
      </c>
      <c r="I291" s="6">
        <v>359881.3</v>
      </c>
      <c r="J291" s="6">
        <f t="shared" si="4"/>
        <v>165486.06</v>
      </c>
      <c r="K291" s="3">
        <v>0.1</v>
      </c>
    </row>
    <row r="292" spans="1:11" s="3" customFormat="1" ht="15" customHeight="1" x14ac:dyDescent="0.25">
      <c r="A292" s="3" t="s">
        <v>902</v>
      </c>
      <c r="B292" s="3" t="s">
        <v>915</v>
      </c>
      <c r="C292" s="3" t="s">
        <v>916</v>
      </c>
      <c r="D292" s="3" t="s">
        <v>917</v>
      </c>
      <c r="E292" s="3" t="s">
        <v>905</v>
      </c>
      <c r="F292" s="3" t="s">
        <v>6</v>
      </c>
      <c r="G292" s="6">
        <v>291680112.31</v>
      </c>
      <c r="H292" s="6">
        <v>876936.81</v>
      </c>
      <c r="I292" s="6">
        <v>555390.57999999996</v>
      </c>
      <c r="J292" s="6">
        <f t="shared" si="4"/>
        <v>321546.2300000001</v>
      </c>
      <c r="K292" s="3">
        <v>0.3</v>
      </c>
    </row>
    <row r="293" spans="1:11" s="3" customFormat="1" ht="15" customHeight="1" x14ac:dyDescent="0.25">
      <c r="A293" s="3" t="s">
        <v>902</v>
      </c>
      <c r="B293" s="3" t="s">
        <v>474</v>
      </c>
      <c r="C293" s="3" t="s">
        <v>918</v>
      </c>
      <c r="D293" s="3" t="s">
        <v>919</v>
      </c>
      <c r="E293" s="3" t="s">
        <v>905</v>
      </c>
      <c r="F293" s="3" t="s">
        <v>6</v>
      </c>
      <c r="G293" s="6">
        <v>12013731.699999999</v>
      </c>
      <c r="H293" s="6">
        <v>29914.53</v>
      </c>
      <c r="I293" s="6">
        <v>19862.900000000001</v>
      </c>
      <c r="J293" s="6">
        <f t="shared" si="4"/>
        <v>10051.629999999997</v>
      </c>
      <c r="K293" s="3">
        <v>0.24</v>
      </c>
    </row>
    <row r="294" spans="1:11" s="3" customFormat="1" ht="15" customHeight="1" x14ac:dyDescent="0.25">
      <c r="A294" s="3" t="s">
        <v>902</v>
      </c>
      <c r="B294" s="3" t="s">
        <v>920</v>
      </c>
      <c r="C294" s="3" t="s">
        <v>921</v>
      </c>
      <c r="D294" s="3" t="s">
        <v>922</v>
      </c>
      <c r="E294" s="3" t="s">
        <v>107</v>
      </c>
      <c r="F294" s="3" t="s">
        <v>6</v>
      </c>
      <c r="G294" s="6">
        <v>9700481.4700000007</v>
      </c>
      <c r="H294" s="6">
        <v>20883.72</v>
      </c>
      <c r="I294" s="6">
        <v>12296.98</v>
      </c>
      <c r="J294" s="6">
        <f t="shared" si="4"/>
        <v>8586.7400000000016</v>
      </c>
      <c r="K294" s="3">
        <v>0.21</v>
      </c>
    </row>
    <row r="295" spans="1:11" s="3" customFormat="1" ht="15" customHeight="1" x14ac:dyDescent="0.25">
      <c r="A295" s="3" t="s">
        <v>902</v>
      </c>
      <c r="B295" s="3" t="s">
        <v>923</v>
      </c>
      <c r="C295" s="3" t="s">
        <v>924</v>
      </c>
      <c r="D295" s="3" t="s">
        <v>925</v>
      </c>
      <c r="E295" s="3" t="s">
        <v>905</v>
      </c>
      <c r="F295" s="3" t="s">
        <v>6</v>
      </c>
      <c r="G295" s="6">
        <v>323850.34999999998</v>
      </c>
      <c r="H295" s="6">
        <v>680.02</v>
      </c>
      <c r="I295" s="6">
        <v>425.29</v>
      </c>
      <c r="J295" s="6">
        <f t="shared" si="4"/>
        <v>254.72999999999996</v>
      </c>
      <c r="K295" s="3">
        <v>0.2</v>
      </c>
    </row>
    <row r="296" spans="1:11" s="3" customFormat="1" ht="15" customHeight="1" x14ac:dyDescent="0.25">
      <c r="A296" s="3" t="s">
        <v>926</v>
      </c>
      <c r="B296" s="3" t="s">
        <v>927</v>
      </c>
      <c r="C296" s="3" t="s">
        <v>926</v>
      </c>
      <c r="D296" s="3" t="s">
        <v>928</v>
      </c>
      <c r="E296" s="3" t="s">
        <v>929</v>
      </c>
      <c r="F296" s="3" t="s">
        <v>6</v>
      </c>
      <c r="G296" s="6">
        <v>1255527112.77</v>
      </c>
      <c r="H296" s="6">
        <v>1829788.7</v>
      </c>
      <c r="I296" s="6">
        <v>50894.42</v>
      </c>
      <c r="J296" s="6">
        <f t="shared" si="4"/>
        <v>1778894.28</v>
      </c>
      <c r="K296" s="3">
        <v>0.14000000000000001</v>
      </c>
    </row>
    <row r="297" spans="1:11" s="3" customFormat="1" ht="15" customHeight="1" x14ac:dyDescent="0.25">
      <c r="A297" s="3" t="s">
        <v>926</v>
      </c>
      <c r="B297" s="3" t="s">
        <v>930</v>
      </c>
      <c r="C297" s="3" t="s">
        <v>931</v>
      </c>
      <c r="D297" s="3" t="s">
        <v>932</v>
      </c>
      <c r="E297" s="3" t="s">
        <v>929</v>
      </c>
      <c r="F297" s="3" t="s">
        <v>6</v>
      </c>
      <c r="G297" s="6">
        <v>39162163.780000001</v>
      </c>
      <c r="H297" s="6">
        <v>205405.98</v>
      </c>
      <c r="I297" s="6">
        <v>132471.22</v>
      </c>
      <c r="J297" s="6">
        <f t="shared" si="4"/>
        <v>72934.760000000009</v>
      </c>
      <c r="K297" s="3">
        <v>0.52</v>
      </c>
    </row>
    <row r="298" spans="1:11" s="3" customFormat="1" ht="15" customHeight="1" x14ac:dyDescent="0.25">
      <c r="A298" s="3" t="s">
        <v>926</v>
      </c>
      <c r="B298" s="3" t="s">
        <v>933</v>
      </c>
      <c r="C298" s="3" t="s">
        <v>934</v>
      </c>
      <c r="D298" s="3" t="s">
        <v>935</v>
      </c>
      <c r="E298" s="3" t="s">
        <v>929</v>
      </c>
      <c r="F298" s="3" t="s">
        <v>6</v>
      </c>
      <c r="G298" s="6">
        <v>35396112.719999999</v>
      </c>
      <c r="H298" s="6">
        <v>148403.07999999999</v>
      </c>
      <c r="I298" s="6">
        <v>103882.74</v>
      </c>
      <c r="J298" s="6">
        <f t="shared" si="4"/>
        <v>44520.339999999982</v>
      </c>
      <c r="K298" s="3">
        <v>0.41</v>
      </c>
    </row>
    <row r="299" spans="1:11" s="3" customFormat="1" ht="15" customHeight="1" x14ac:dyDescent="0.25">
      <c r="A299" s="3" t="s">
        <v>936</v>
      </c>
      <c r="B299" s="3" t="s">
        <v>937</v>
      </c>
      <c r="C299" s="3" t="s">
        <v>936</v>
      </c>
      <c r="D299" s="3" t="s">
        <v>938</v>
      </c>
      <c r="E299" s="3" t="s">
        <v>19</v>
      </c>
      <c r="F299" s="3" t="s">
        <v>20</v>
      </c>
      <c r="G299" s="6">
        <v>45810393724.019997</v>
      </c>
      <c r="H299" s="6">
        <v>7340256.8399999999</v>
      </c>
      <c r="I299" s="6">
        <v>71812.7</v>
      </c>
      <c r="J299" s="6">
        <f t="shared" si="4"/>
        <v>7268444.1399999997</v>
      </c>
      <c r="K299" s="3">
        <v>0.01</v>
      </c>
    </row>
    <row r="300" spans="1:11" s="3" customFormat="1" ht="15" customHeight="1" x14ac:dyDescent="0.25">
      <c r="A300" s="3" t="s">
        <v>936</v>
      </c>
      <c r="B300" s="3" t="s">
        <v>939</v>
      </c>
      <c r="C300" s="3" t="s">
        <v>940</v>
      </c>
      <c r="D300" s="3" t="s">
        <v>941</v>
      </c>
      <c r="E300" s="3" t="s">
        <v>19</v>
      </c>
      <c r="F300" s="3" t="s">
        <v>20</v>
      </c>
      <c r="G300" s="6">
        <v>35223412.479999997</v>
      </c>
      <c r="H300" s="6">
        <v>117027.89</v>
      </c>
      <c r="I300" s="6">
        <v>78666.97</v>
      </c>
      <c r="J300" s="6">
        <f t="shared" si="4"/>
        <v>38360.92</v>
      </c>
      <c r="K300" s="3">
        <v>0.33</v>
      </c>
    </row>
    <row r="301" spans="1:11" s="3" customFormat="1" ht="15" customHeight="1" x14ac:dyDescent="0.25">
      <c r="A301" s="3" t="s">
        <v>936</v>
      </c>
      <c r="B301" s="3" t="s">
        <v>942</v>
      </c>
      <c r="C301" s="3" t="s">
        <v>943</v>
      </c>
      <c r="D301" s="3" t="s">
        <v>944</v>
      </c>
      <c r="E301" s="3" t="s">
        <v>19</v>
      </c>
      <c r="F301" s="3" t="s">
        <v>20</v>
      </c>
      <c r="G301" s="6">
        <v>34708911.219999999</v>
      </c>
      <c r="H301" s="6">
        <v>64936.92</v>
      </c>
      <c r="I301" s="6">
        <v>45455.86</v>
      </c>
      <c r="J301" s="6">
        <f t="shared" si="4"/>
        <v>19481.059999999998</v>
      </c>
      <c r="K301" s="3">
        <v>0.18</v>
      </c>
    </row>
    <row r="302" spans="1:11" s="3" customFormat="1" ht="15" customHeight="1" x14ac:dyDescent="0.25">
      <c r="A302" s="3" t="s">
        <v>945</v>
      </c>
      <c r="B302" s="3" t="s">
        <v>946</v>
      </c>
      <c r="C302" s="3" t="s">
        <v>947</v>
      </c>
      <c r="D302" s="3" t="s">
        <v>948</v>
      </c>
      <c r="E302" s="3" t="s">
        <v>949</v>
      </c>
      <c r="F302" s="3" t="s">
        <v>6</v>
      </c>
      <c r="G302" s="6">
        <v>1649777126.8</v>
      </c>
      <c r="H302" s="6">
        <v>2193213.11</v>
      </c>
      <c r="I302" s="6">
        <v>1528985.5</v>
      </c>
      <c r="J302" s="6">
        <f t="shared" si="4"/>
        <v>664227.60999999987</v>
      </c>
      <c r="K302" s="3">
        <v>0.13</v>
      </c>
    </row>
    <row r="303" spans="1:11" s="3" customFormat="1" ht="15" customHeight="1" x14ac:dyDescent="0.25">
      <c r="A303" s="3" t="s">
        <v>945</v>
      </c>
      <c r="B303" s="3" t="s">
        <v>950</v>
      </c>
      <c r="C303" s="3" t="s">
        <v>951</v>
      </c>
      <c r="D303" s="3" t="s">
        <v>948</v>
      </c>
      <c r="E303" s="3" t="s">
        <v>952</v>
      </c>
      <c r="F303" s="3" t="s">
        <v>6</v>
      </c>
      <c r="G303" s="6">
        <v>1642761.27</v>
      </c>
      <c r="H303" s="6">
        <v>3340.74</v>
      </c>
      <c r="I303" s="6">
        <v>78892.100000000006</v>
      </c>
      <c r="J303" s="6">
        <f t="shared" si="4"/>
        <v>-75551.360000000001</v>
      </c>
      <c r="K303" s="3">
        <v>0.2</v>
      </c>
    </row>
    <row r="304" spans="1:11" s="3" customFormat="1" ht="15" customHeight="1" x14ac:dyDescent="0.25">
      <c r="A304" s="3" t="s">
        <v>953</v>
      </c>
      <c r="B304" s="3" t="s">
        <v>954</v>
      </c>
      <c r="C304" s="3" t="s">
        <v>955</v>
      </c>
      <c r="D304" s="3" t="s">
        <v>956</v>
      </c>
      <c r="E304" s="3" t="s">
        <v>957</v>
      </c>
      <c r="F304" s="3" t="s">
        <v>6</v>
      </c>
      <c r="G304" s="6">
        <v>2798066675.75</v>
      </c>
      <c r="H304" s="6">
        <v>3966276.87</v>
      </c>
      <c r="I304" s="6">
        <v>2920736.33</v>
      </c>
      <c r="J304" s="6">
        <f t="shared" si="4"/>
        <v>1045540.54</v>
      </c>
      <c r="K304" s="3">
        <v>0.14000000000000001</v>
      </c>
    </row>
    <row r="305" spans="1:11" s="3" customFormat="1" ht="15" customHeight="1" x14ac:dyDescent="0.25">
      <c r="A305" s="3" t="s">
        <v>953</v>
      </c>
      <c r="B305" s="3" t="s">
        <v>17</v>
      </c>
      <c r="C305" s="3" t="s">
        <v>953</v>
      </c>
      <c r="D305" s="3" t="s">
        <v>958</v>
      </c>
      <c r="E305" s="3" t="s">
        <v>957</v>
      </c>
      <c r="F305" s="3" t="s">
        <v>6</v>
      </c>
      <c r="G305" s="6">
        <v>2550762750.8899999</v>
      </c>
      <c r="H305" s="6">
        <v>2636146.94</v>
      </c>
      <c r="I305" s="6">
        <v>1.6</v>
      </c>
      <c r="J305" s="6">
        <f t="shared" si="4"/>
        <v>2636145.34</v>
      </c>
      <c r="K305" s="3">
        <v>0.1</v>
      </c>
    </row>
    <row r="306" spans="1:11" s="3" customFormat="1" ht="15" customHeight="1" x14ac:dyDescent="0.25">
      <c r="A306" s="3" t="s">
        <v>953</v>
      </c>
      <c r="B306" s="3" t="s">
        <v>959</v>
      </c>
      <c r="C306" s="3" t="s">
        <v>960</v>
      </c>
      <c r="D306" s="3" t="s">
        <v>639</v>
      </c>
      <c r="E306" s="3" t="s">
        <v>957</v>
      </c>
      <c r="F306" s="3" t="s">
        <v>6</v>
      </c>
      <c r="G306" s="6">
        <v>1192847365.8499999</v>
      </c>
      <c r="H306" s="6">
        <v>999998.22</v>
      </c>
      <c r="I306" s="6">
        <v>695312.66</v>
      </c>
      <c r="J306" s="6">
        <f t="shared" si="4"/>
        <v>304685.55999999994</v>
      </c>
      <c r="K306" s="3">
        <v>0.08</v>
      </c>
    </row>
    <row r="307" spans="1:11" s="3" customFormat="1" ht="15" customHeight="1" x14ac:dyDescent="0.25">
      <c r="A307" s="3" t="s">
        <v>953</v>
      </c>
      <c r="B307" s="3" t="s">
        <v>961</v>
      </c>
      <c r="C307" s="3" t="s">
        <v>962</v>
      </c>
      <c r="D307" s="3" t="s">
        <v>963</v>
      </c>
      <c r="E307" s="3" t="s">
        <v>957</v>
      </c>
      <c r="F307" s="3" t="s">
        <v>6</v>
      </c>
      <c r="G307" s="6">
        <v>868933810.10000002</v>
      </c>
      <c r="H307" s="6">
        <v>1071010.73</v>
      </c>
      <c r="I307" s="6">
        <v>634983.47</v>
      </c>
      <c r="J307" s="6">
        <f t="shared" si="4"/>
        <v>436027.26</v>
      </c>
      <c r="K307" s="3">
        <v>0.12</v>
      </c>
    </row>
    <row r="308" spans="1:11" s="3" customFormat="1" ht="15" customHeight="1" x14ac:dyDescent="0.25">
      <c r="A308" s="3" t="s">
        <v>953</v>
      </c>
      <c r="B308" s="3" t="s">
        <v>964</v>
      </c>
      <c r="C308" s="3" t="s">
        <v>965</v>
      </c>
      <c r="D308" s="3" t="s">
        <v>966</v>
      </c>
      <c r="E308" s="3" t="s">
        <v>957</v>
      </c>
      <c r="F308" s="3" t="s">
        <v>6</v>
      </c>
      <c r="G308" s="6">
        <v>324889052.02999997</v>
      </c>
      <c r="H308" s="6">
        <v>407249.85</v>
      </c>
      <c r="I308" s="6">
        <v>240234.96</v>
      </c>
      <c r="J308" s="6">
        <f t="shared" si="4"/>
        <v>167014.88999999998</v>
      </c>
      <c r="K308" s="3">
        <v>0.12</v>
      </c>
    </row>
    <row r="309" spans="1:11" s="3" customFormat="1" ht="15" customHeight="1" x14ac:dyDescent="0.25">
      <c r="A309" s="3" t="s">
        <v>953</v>
      </c>
      <c r="B309" s="3" t="s">
        <v>313</v>
      </c>
      <c r="C309" s="3" t="s">
        <v>967</v>
      </c>
      <c r="D309" s="3" t="s">
        <v>968</v>
      </c>
      <c r="E309" s="3" t="s">
        <v>957</v>
      </c>
      <c r="F309" s="3" t="s">
        <v>6</v>
      </c>
      <c r="G309" s="6">
        <v>266176906.71000001</v>
      </c>
      <c r="H309" s="6">
        <v>1122650</v>
      </c>
      <c r="I309" s="6">
        <v>879597.22</v>
      </c>
      <c r="J309" s="6">
        <f t="shared" si="4"/>
        <v>243052.78000000003</v>
      </c>
      <c r="K309" s="3">
        <v>0.42</v>
      </c>
    </row>
    <row r="310" spans="1:11" s="3" customFormat="1" ht="15" customHeight="1" x14ac:dyDescent="0.25">
      <c r="A310" s="3" t="s">
        <v>953</v>
      </c>
      <c r="B310" s="3" t="s">
        <v>969</v>
      </c>
      <c r="C310" s="3" t="s">
        <v>970</v>
      </c>
      <c r="D310" s="3" t="s">
        <v>433</v>
      </c>
      <c r="E310" s="3" t="s">
        <v>957</v>
      </c>
      <c r="F310" s="3" t="s">
        <v>6</v>
      </c>
      <c r="G310" s="6">
        <v>127611186.92</v>
      </c>
      <c r="H310" s="6">
        <v>202081.6</v>
      </c>
      <c r="I310" s="6">
        <v>111034.41</v>
      </c>
      <c r="J310" s="6">
        <f t="shared" si="4"/>
        <v>91047.19</v>
      </c>
      <c r="K310" s="3">
        <v>0.15</v>
      </c>
    </row>
    <row r="311" spans="1:11" s="3" customFormat="1" ht="15" customHeight="1" x14ac:dyDescent="0.25">
      <c r="A311" s="3" t="s">
        <v>953</v>
      </c>
      <c r="B311" s="3" t="s">
        <v>971</v>
      </c>
      <c r="C311" s="3" t="s">
        <v>972</v>
      </c>
      <c r="D311" s="3" t="s">
        <v>973</v>
      </c>
      <c r="E311" s="3" t="s">
        <v>957</v>
      </c>
      <c r="F311" s="3" t="s">
        <v>6</v>
      </c>
      <c r="G311" s="6">
        <v>62566240.740000002</v>
      </c>
      <c r="H311" s="6">
        <v>222369.58</v>
      </c>
      <c r="I311" s="6">
        <v>144388.71</v>
      </c>
      <c r="J311" s="6">
        <f t="shared" si="4"/>
        <v>77980.87</v>
      </c>
      <c r="K311" s="3">
        <v>0.35</v>
      </c>
    </row>
    <row r="312" spans="1:11" s="3" customFormat="1" ht="15" customHeight="1" x14ac:dyDescent="0.25">
      <c r="A312" s="3" t="s">
        <v>953</v>
      </c>
      <c r="B312" s="3" t="s">
        <v>974</v>
      </c>
      <c r="C312" s="3" t="s">
        <v>975</v>
      </c>
      <c r="D312" s="3" t="s">
        <v>976</v>
      </c>
      <c r="E312" s="3" t="s">
        <v>957</v>
      </c>
      <c r="F312" s="3" t="s">
        <v>6</v>
      </c>
      <c r="G312" s="6">
        <v>56958906.299999997</v>
      </c>
      <c r="H312" s="6">
        <v>221657.69</v>
      </c>
      <c r="I312" s="6">
        <v>143442.07999999999</v>
      </c>
      <c r="J312" s="6">
        <f t="shared" si="4"/>
        <v>78215.610000000015</v>
      </c>
      <c r="K312" s="3">
        <v>0.38</v>
      </c>
    </row>
    <row r="313" spans="1:11" s="3" customFormat="1" ht="15" customHeight="1" x14ac:dyDescent="0.25">
      <c r="A313" s="3" t="s">
        <v>953</v>
      </c>
      <c r="B313" s="3" t="s">
        <v>17</v>
      </c>
      <c r="C313" s="3" t="s">
        <v>977</v>
      </c>
      <c r="D313" s="3" t="s">
        <v>978</v>
      </c>
      <c r="E313" s="3" t="s">
        <v>957</v>
      </c>
      <c r="F313" s="3" t="s">
        <v>6</v>
      </c>
      <c r="G313" s="6">
        <v>26433241.440000001</v>
      </c>
      <c r="H313" s="6">
        <v>71731.75</v>
      </c>
      <c r="I313" s="6">
        <v>43063.71</v>
      </c>
      <c r="J313" s="6">
        <f t="shared" si="4"/>
        <v>28668.04</v>
      </c>
      <c r="K313" s="3">
        <v>0.27</v>
      </c>
    </row>
    <row r="314" spans="1:11" s="3" customFormat="1" ht="15" customHeight="1" x14ac:dyDescent="0.25">
      <c r="A314" s="3" t="s">
        <v>979</v>
      </c>
      <c r="B314" s="3" t="s">
        <v>980</v>
      </c>
      <c r="C314" s="3" t="s">
        <v>981</v>
      </c>
      <c r="D314" s="3" t="s">
        <v>982</v>
      </c>
      <c r="E314" s="3" t="s">
        <v>983</v>
      </c>
      <c r="F314" s="3" t="s">
        <v>6</v>
      </c>
      <c r="G314" s="6">
        <v>138232239350.35999</v>
      </c>
      <c r="H314" s="6">
        <v>739172.86</v>
      </c>
      <c r="I314" s="6">
        <v>0</v>
      </c>
      <c r="J314" s="6">
        <f t="shared" si="4"/>
        <v>739172.86</v>
      </c>
      <c r="K314" s="3">
        <v>0</v>
      </c>
    </row>
    <row r="315" spans="1:11" s="3" customFormat="1" ht="15" customHeight="1" x14ac:dyDescent="0.25">
      <c r="A315" s="3" t="s">
        <v>979</v>
      </c>
      <c r="B315" s="3" t="s">
        <v>17</v>
      </c>
      <c r="C315" s="3" t="s">
        <v>984</v>
      </c>
      <c r="D315" s="3" t="s">
        <v>985</v>
      </c>
      <c r="E315" s="3" t="s">
        <v>5</v>
      </c>
      <c r="F315" s="3" t="s">
        <v>6</v>
      </c>
      <c r="G315" s="6">
        <v>3931173399.8899999</v>
      </c>
      <c r="H315" s="6">
        <v>1561630.9</v>
      </c>
      <c r="I315" s="6">
        <v>1047412.48</v>
      </c>
      <c r="J315" s="6">
        <f t="shared" si="4"/>
        <v>514218.41999999993</v>
      </c>
      <c r="K315" s="3">
        <v>0.03</v>
      </c>
    </row>
    <row r="316" spans="1:11" s="3" customFormat="1" ht="15" customHeight="1" x14ac:dyDescent="0.25">
      <c r="A316" s="3" t="s">
        <v>979</v>
      </c>
      <c r="B316" s="3" t="s">
        <v>17</v>
      </c>
      <c r="C316" s="3" t="s">
        <v>986</v>
      </c>
      <c r="D316" s="3" t="s">
        <v>987</v>
      </c>
      <c r="E316" s="3" t="s">
        <v>5</v>
      </c>
      <c r="F316" s="3" t="s">
        <v>6</v>
      </c>
      <c r="G316" s="6">
        <v>3110693112.3899999</v>
      </c>
      <c r="H316" s="6">
        <v>1452341.04</v>
      </c>
      <c r="I316" s="6">
        <v>949150.19</v>
      </c>
      <c r="J316" s="6">
        <f t="shared" si="4"/>
        <v>503190.85000000009</v>
      </c>
      <c r="K316" s="3">
        <v>0.04</v>
      </c>
    </row>
    <row r="317" spans="1:11" s="3" customFormat="1" ht="15" customHeight="1" x14ac:dyDescent="0.25">
      <c r="A317" s="3" t="s">
        <v>979</v>
      </c>
      <c r="B317" s="3" t="s">
        <v>988</v>
      </c>
      <c r="C317" s="3" t="s">
        <v>989</v>
      </c>
      <c r="D317" s="3" t="s">
        <v>990</v>
      </c>
      <c r="E317" s="3" t="s">
        <v>5</v>
      </c>
      <c r="F317" s="3" t="s">
        <v>6</v>
      </c>
      <c r="G317" s="6">
        <v>2887938690.3499999</v>
      </c>
      <c r="H317" s="6">
        <v>1246299.58</v>
      </c>
      <c r="I317" s="6">
        <v>718457.61</v>
      </c>
      <c r="J317" s="6">
        <f t="shared" si="4"/>
        <v>527841.97000000009</v>
      </c>
      <c r="K317" s="3">
        <v>0.04</v>
      </c>
    </row>
    <row r="318" spans="1:11" s="3" customFormat="1" ht="15" customHeight="1" x14ac:dyDescent="0.25">
      <c r="A318" s="3" t="s">
        <v>979</v>
      </c>
      <c r="B318" s="3" t="s">
        <v>991</v>
      </c>
      <c r="C318" s="3" t="s">
        <v>992</v>
      </c>
      <c r="D318" s="3" t="s">
        <v>993</v>
      </c>
      <c r="E318" s="3" t="s">
        <v>871</v>
      </c>
      <c r="F318" s="3" t="s">
        <v>6</v>
      </c>
      <c r="G318" s="6">
        <v>2550494646.1199999</v>
      </c>
      <c r="H318" s="6">
        <v>1050832.26</v>
      </c>
      <c r="I318" s="6">
        <v>661933.66</v>
      </c>
      <c r="J318" s="6">
        <f t="shared" si="4"/>
        <v>388898.6</v>
      </c>
      <c r="K318" s="3">
        <v>0.04</v>
      </c>
    </row>
    <row r="319" spans="1:11" s="3" customFormat="1" ht="15" customHeight="1" x14ac:dyDescent="0.25">
      <c r="A319" s="3" t="s">
        <v>979</v>
      </c>
      <c r="B319" s="3" t="s">
        <v>17</v>
      </c>
      <c r="C319" s="3" t="s">
        <v>994</v>
      </c>
      <c r="D319" s="3" t="s">
        <v>995</v>
      </c>
      <c r="E319" s="3" t="s">
        <v>5</v>
      </c>
      <c r="F319" s="3" t="s">
        <v>6</v>
      </c>
      <c r="G319" s="6">
        <v>1609617941.72</v>
      </c>
      <c r="H319" s="6">
        <v>1254472.53</v>
      </c>
      <c r="I319" s="6">
        <v>883125.3</v>
      </c>
      <c r="J319" s="6">
        <f t="shared" si="4"/>
        <v>371347.23</v>
      </c>
      <c r="K319" s="3">
        <v>7.0000000000000007E-2</v>
      </c>
    </row>
    <row r="320" spans="1:11" s="3" customFormat="1" ht="15" customHeight="1" x14ac:dyDescent="0.25">
      <c r="A320" s="3" t="s">
        <v>979</v>
      </c>
      <c r="B320" s="3" t="s">
        <v>996</v>
      </c>
      <c r="C320" s="3" t="s">
        <v>997</v>
      </c>
      <c r="D320" s="3" t="s">
        <v>998</v>
      </c>
      <c r="E320" s="3" t="s">
        <v>5</v>
      </c>
      <c r="F320" s="3" t="s">
        <v>6</v>
      </c>
      <c r="G320" s="6">
        <v>1593609868.1500001</v>
      </c>
      <c r="H320" s="6">
        <v>1481889.59</v>
      </c>
      <c r="I320" s="6">
        <v>824352.4</v>
      </c>
      <c r="J320" s="6">
        <f t="shared" si="4"/>
        <v>657537.19000000006</v>
      </c>
      <c r="K320" s="3">
        <v>0.09</v>
      </c>
    </row>
    <row r="321" spans="1:11" s="3" customFormat="1" ht="15" customHeight="1" x14ac:dyDescent="0.25">
      <c r="A321" s="3" t="s">
        <v>979</v>
      </c>
      <c r="B321" s="3" t="s">
        <v>999</v>
      </c>
      <c r="C321" s="3" t="s">
        <v>1000</v>
      </c>
      <c r="D321" s="3" t="s">
        <v>1001</v>
      </c>
      <c r="E321" s="3" t="s">
        <v>5</v>
      </c>
      <c r="F321" s="3" t="s">
        <v>6</v>
      </c>
      <c r="G321" s="6">
        <v>1443352960.79</v>
      </c>
      <c r="H321" s="6">
        <v>2112986.4700000002</v>
      </c>
      <c r="I321" s="6">
        <v>1424822.53</v>
      </c>
      <c r="J321" s="6">
        <f t="shared" si="4"/>
        <v>688163.94000000018</v>
      </c>
      <c r="K321" s="3">
        <v>0.14000000000000001</v>
      </c>
    </row>
    <row r="322" spans="1:11" s="3" customFormat="1" ht="15" customHeight="1" x14ac:dyDescent="0.25">
      <c r="A322" s="3" t="s">
        <v>979</v>
      </c>
      <c r="B322" s="3" t="s">
        <v>17</v>
      </c>
      <c r="C322" s="3" t="s">
        <v>1002</v>
      </c>
      <c r="D322" s="3" t="s">
        <v>1003</v>
      </c>
      <c r="E322" s="3" t="s">
        <v>5</v>
      </c>
      <c r="F322" s="3" t="s">
        <v>6</v>
      </c>
      <c r="G322" s="6">
        <v>1402120969.03</v>
      </c>
      <c r="H322" s="6">
        <v>4869645.93</v>
      </c>
      <c r="I322" s="6">
        <v>3565173.35</v>
      </c>
      <c r="J322" s="6">
        <f t="shared" si="4"/>
        <v>1304472.5799999996</v>
      </c>
      <c r="K322" s="3">
        <v>0.34</v>
      </c>
    </row>
    <row r="323" spans="1:11" s="3" customFormat="1" ht="15" customHeight="1" x14ac:dyDescent="0.25">
      <c r="A323" s="3" t="s">
        <v>979</v>
      </c>
      <c r="B323" s="3" t="s">
        <v>1004</v>
      </c>
      <c r="C323" s="3" t="s">
        <v>1005</v>
      </c>
      <c r="D323" s="3" t="s">
        <v>1006</v>
      </c>
      <c r="E323" s="3" t="s">
        <v>5</v>
      </c>
      <c r="F323" s="3" t="s">
        <v>6</v>
      </c>
      <c r="G323" s="6">
        <v>1239515624.95</v>
      </c>
      <c r="H323" s="6">
        <v>1969884.32</v>
      </c>
      <c r="I323" s="6">
        <v>1425091.79</v>
      </c>
      <c r="J323" s="6">
        <f t="shared" si="4"/>
        <v>544792.53</v>
      </c>
      <c r="K323" s="3">
        <v>0.15</v>
      </c>
    </row>
    <row r="324" spans="1:11" s="3" customFormat="1" ht="15" customHeight="1" x14ac:dyDescent="0.25">
      <c r="A324" s="3" t="s">
        <v>979</v>
      </c>
      <c r="B324" s="3" t="s">
        <v>1007</v>
      </c>
      <c r="C324" s="3" t="s">
        <v>1008</v>
      </c>
      <c r="D324" s="3" t="s">
        <v>1009</v>
      </c>
      <c r="E324" s="3" t="s">
        <v>952</v>
      </c>
      <c r="F324" s="3" t="s">
        <v>6</v>
      </c>
      <c r="G324" s="6">
        <v>1174332632.45</v>
      </c>
      <c r="H324" s="6">
        <v>2820129.04</v>
      </c>
      <c r="I324" s="6">
        <v>1649311.75</v>
      </c>
      <c r="J324" s="6">
        <f t="shared" ref="J324:J387" si="5">H324-I324</f>
        <v>1170817.29</v>
      </c>
      <c r="K324" s="3">
        <v>0.24</v>
      </c>
    </row>
    <row r="325" spans="1:11" s="3" customFormat="1" ht="15" customHeight="1" x14ac:dyDescent="0.25">
      <c r="A325" s="3" t="s">
        <v>979</v>
      </c>
      <c r="B325" s="3" t="s">
        <v>1010</v>
      </c>
      <c r="C325" s="3" t="s">
        <v>1011</v>
      </c>
      <c r="D325" s="3" t="s">
        <v>1012</v>
      </c>
      <c r="E325" s="3" t="s">
        <v>5</v>
      </c>
      <c r="F325" s="3" t="s">
        <v>6</v>
      </c>
      <c r="G325" s="6">
        <v>1079309879.4400001</v>
      </c>
      <c r="H325" s="6">
        <v>954675.09</v>
      </c>
      <c r="I325" s="6">
        <v>737153.55</v>
      </c>
      <c r="J325" s="6">
        <f t="shared" si="5"/>
        <v>217521.53999999992</v>
      </c>
      <c r="K325" s="3">
        <v>0.08</v>
      </c>
    </row>
    <row r="326" spans="1:11" s="3" customFormat="1" ht="15" customHeight="1" x14ac:dyDescent="0.25">
      <c r="A326" s="3" t="s">
        <v>979</v>
      </c>
      <c r="B326" s="3" t="s">
        <v>585</v>
      </c>
      <c r="C326" s="3" t="s">
        <v>1013</v>
      </c>
      <c r="D326" s="3" t="s">
        <v>1014</v>
      </c>
      <c r="E326" s="3" t="s">
        <v>5</v>
      </c>
      <c r="F326" s="3" t="s">
        <v>6</v>
      </c>
      <c r="G326" s="6">
        <v>943142598.65999997</v>
      </c>
      <c r="H326" s="6">
        <v>405887.74</v>
      </c>
      <c r="I326" s="6">
        <v>239588.64</v>
      </c>
      <c r="J326" s="6">
        <f t="shared" si="5"/>
        <v>166299.09999999998</v>
      </c>
      <c r="K326" s="3">
        <v>0.04</v>
      </c>
    </row>
    <row r="327" spans="1:11" s="3" customFormat="1" ht="15" customHeight="1" x14ac:dyDescent="0.25">
      <c r="A327" s="3" t="s">
        <v>979</v>
      </c>
      <c r="B327" s="3" t="s">
        <v>1015</v>
      </c>
      <c r="C327" s="3" t="s">
        <v>1016</v>
      </c>
      <c r="D327" s="3" t="s">
        <v>1017</v>
      </c>
      <c r="E327" s="3" t="s">
        <v>5</v>
      </c>
      <c r="F327" s="3" t="s">
        <v>6</v>
      </c>
      <c r="G327" s="6">
        <v>878866741.40999997</v>
      </c>
      <c r="H327" s="6">
        <v>601930.73</v>
      </c>
      <c r="I327" s="6">
        <v>450835.02</v>
      </c>
      <c r="J327" s="6">
        <f t="shared" si="5"/>
        <v>151095.70999999996</v>
      </c>
      <c r="K327" s="3">
        <v>0.06</v>
      </c>
    </row>
    <row r="328" spans="1:11" s="3" customFormat="1" ht="15" customHeight="1" x14ac:dyDescent="0.25">
      <c r="A328" s="3" t="s">
        <v>979</v>
      </c>
      <c r="B328" s="3" t="s">
        <v>1018</v>
      </c>
      <c r="C328" s="3" t="s">
        <v>1019</v>
      </c>
      <c r="D328" s="3" t="s">
        <v>1020</v>
      </c>
      <c r="E328" s="3" t="s">
        <v>5</v>
      </c>
      <c r="F328" s="3" t="s">
        <v>6</v>
      </c>
      <c r="G328" s="6">
        <v>827367483.84000003</v>
      </c>
      <c r="H328" s="6">
        <v>1021202.8</v>
      </c>
      <c r="I328" s="6">
        <v>643736.49</v>
      </c>
      <c r="J328" s="6">
        <f t="shared" si="5"/>
        <v>377466.31000000006</v>
      </c>
      <c r="K328" s="3">
        <v>0.12</v>
      </c>
    </row>
    <row r="329" spans="1:11" s="3" customFormat="1" ht="15" customHeight="1" x14ac:dyDescent="0.25">
      <c r="A329" s="3" t="s">
        <v>979</v>
      </c>
      <c r="B329" s="3" t="s">
        <v>1021</v>
      </c>
      <c r="C329" s="3" t="s">
        <v>1022</v>
      </c>
      <c r="D329" s="3" t="s">
        <v>1023</v>
      </c>
      <c r="E329" s="3" t="s">
        <v>5</v>
      </c>
      <c r="F329" s="3" t="s">
        <v>6</v>
      </c>
      <c r="G329" s="6">
        <v>823975885.52999997</v>
      </c>
      <c r="H329" s="6">
        <v>927645.46</v>
      </c>
      <c r="I329" s="6">
        <v>625071.34</v>
      </c>
      <c r="J329" s="6">
        <f t="shared" si="5"/>
        <v>302574.12</v>
      </c>
      <c r="K329" s="3">
        <v>0.11</v>
      </c>
    </row>
    <row r="330" spans="1:11" s="3" customFormat="1" ht="15" customHeight="1" x14ac:dyDescent="0.25">
      <c r="A330" s="3" t="s">
        <v>979</v>
      </c>
      <c r="B330" s="3" t="s">
        <v>1024</v>
      </c>
      <c r="C330" s="3" t="s">
        <v>1025</v>
      </c>
      <c r="D330" s="3" t="s">
        <v>1026</v>
      </c>
      <c r="E330" s="3" t="s">
        <v>5</v>
      </c>
      <c r="F330" s="3" t="s">
        <v>6</v>
      </c>
      <c r="G330" s="6">
        <v>802260674.33000004</v>
      </c>
      <c r="H330" s="6">
        <v>1628186.51</v>
      </c>
      <c r="I330" s="6">
        <v>1149811.99</v>
      </c>
      <c r="J330" s="6">
        <f t="shared" si="5"/>
        <v>478374.52</v>
      </c>
      <c r="K330" s="3">
        <v>0.2</v>
      </c>
    </row>
    <row r="331" spans="1:11" s="3" customFormat="1" ht="15" customHeight="1" x14ac:dyDescent="0.25">
      <c r="A331" s="3" t="s">
        <v>979</v>
      </c>
      <c r="B331" s="3" t="s">
        <v>459</v>
      </c>
      <c r="C331" s="3" t="s">
        <v>1027</v>
      </c>
      <c r="D331" s="3" t="s">
        <v>1028</v>
      </c>
      <c r="E331" s="3" t="s">
        <v>5</v>
      </c>
      <c r="F331" s="3" t="s">
        <v>6</v>
      </c>
      <c r="G331" s="6">
        <v>793276918.50999999</v>
      </c>
      <c r="H331" s="6">
        <v>3085428.25</v>
      </c>
      <c r="I331" s="6">
        <v>2453685.25</v>
      </c>
      <c r="J331" s="6">
        <f t="shared" si="5"/>
        <v>631743</v>
      </c>
      <c r="K331" s="3">
        <v>0.38</v>
      </c>
    </row>
    <row r="332" spans="1:11" s="3" customFormat="1" ht="15" customHeight="1" x14ac:dyDescent="0.25">
      <c r="A332" s="3" t="s">
        <v>979</v>
      </c>
      <c r="B332" s="3" t="s">
        <v>1029</v>
      </c>
      <c r="C332" s="3" t="s">
        <v>1030</v>
      </c>
      <c r="D332" s="3" t="s">
        <v>1031</v>
      </c>
      <c r="E332" s="3" t="s">
        <v>5</v>
      </c>
      <c r="F332" s="3" t="s">
        <v>6</v>
      </c>
      <c r="G332" s="6">
        <v>659303010.95000005</v>
      </c>
      <c r="H332" s="6">
        <v>629662.14</v>
      </c>
      <c r="I332" s="6">
        <v>353573.08</v>
      </c>
      <c r="J332" s="6">
        <f t="shared" si="5"/>
        <v>276089.06</v>
      </c>
      <c r="K332" s="3">
        <v>0.09</v>
      </c>
    </row>
    <row r="333" spans="1:11" s="3" customFormat="1" ht="15" customHeight="1" x14ac:dyDescent="0.25">
      <c r="A333" s="3" t="s">
        <v>979</v>
      </c>
      <c r="B333" s="3" t="s">
        <v>1032</v>
      </c>
      <c r="C333" s="3" t="s">
        <v>1033</v>
      </c>
      <c r="D333" s="3" t="s">
        <v>1034</v>
      </c>
      <c r="E333" s="3" t="s">
        <v>1035</v>
      </c>
      <c r="F333" s="3" t="s">
        <v>6</v>
      </c>
      <c r="G333" s="6">
        <v>600263579.74000001</v>
      </c>
      <c r="H333" s="6">
        <v>1591284.76</v>
      </c>
      <c r="I333" s="6">
        <v>1032484.6</v>
      </c>
      <c r="J333" s="6">
        <f t="shared" si="5"/>
        <v>558800.16</v>
      </c>
      <c r="K333" s="3">
        <v>0.26</v>
      </c>
    </row>
    <row r="334" spans="1:11" s="3" customFormat="1" ht="15" customHeight="1" x14ac:dyDescent="0.25">
      <c r="A334" s="3" t="s">
        <v>979</v>
      </c>
      <c r="B334" s="3" t="s">
        <v>1036</v>
      </c>
      <c r="C334" s="3" t="s">
        <v>1037</v>
      </c>
      <c r="D334" s="3" t="s">
        <v>1038</v>
      </c>
      <c r="E334" s="3" t="s">
        <v>5</v>
      </c>
      <c r="F334" s="3" t="s">
        <v>6</v>
      </c>
      <c r="G334" s="6">
        <v>532620700.63</v>
      </c>
      <c r="H334" s="6">
        <v>270633.90999999997</v>
      </c>
      <c r="I334" s="6">
        <v>199918.33</v>
      </c>
      <c r="J334" s="6">
        <f t="shared" si="5"/>
        <v>70715.579999999987</v>
      </c>
      <c r="K334" s="3">
        <v>0.05</v>
      </c>
    </row>
    <row r="335" spans="1:11" s="3" customFormat="1" ht="15" customHeight="1" x14ac:dyDescent="0.25">
      <c r="A335" s="3" t="s">
        <v>979</v>
      </c>
      <c r="B335" s="3" t="s">
        <v>306</v>
      </c>
      <c r="C335" s="3" t="s">
        <v>1039</v>
      </c>
      <c r="D335" s="3" t="s">
        <v>1040</v>
      </c>
      <c r="E335" s="3" t="s">
        <v>5</v>
      </c>
      <c r="F335" s="3" t="s">
        <v>6</v>
      </c>
      <c r="G335" s="6">
        <v>490121143.68000001</v>
      </c>
      <c r="H335" s="6">
        <v>769816.69</v>
      </c>
      <c r="I335" s="6">
        <v>598959.80000000005</v>
      </c>
      <c r="J335" s="6">
        <f t="shared" si="5"/>
        <v>170856.8899999999</v>
      </c>
      <c r="K335" s="3">
        <v>0.15</v>
      </c>
    </row>
    <row r="336" spans="1:11" s="3" customFormat="1" ht="15" customHeight="1" x14ac:dyDescent="0.25">
      <c r="A336" s="3" t="s">
        <v>979</v>
      </c>
      <c r="B336" s="3" t="s">
        <v>1041</v>
      </c>
      <c r="C336" s="3" t="s">
        <v>1042</v>
      </c>
      <c r="D336" s="3" t="s">
        <v>1043</v>
      </c>
      <c r="E336" s="3" t="s">
        <v>5</v>
      </c>
      <c r="F336" s="3" t="s">
        <v>6</v>
      </c>
      <c r="G336" s="6">
        <v>478470256.75</v>
      </c>
      <c r="H336" s="6">
        <v>1338505.27</v>
      </c>
      <c r="I336" s="6">
        <v>960083.18</v>
      </c>
      <c r="J336" s="6">
        <f t="shared" si="5"/>
        <v>378422.08999999997</v>
      </c>
      <c r="K336" s="3">
        <v>0.27</v>
      </c>
    </row>
    <row r="337" spans="1:11" s="3" customFormat="1" ht="15" customHeight="1" x14ac:dyDescent="0.25">
      <c r="A337" s="3" t="s">
        <v>979</v>
      </c>
      <c r="B337" s="3" t="s">
        <v>17</v>
      </c>
      <c r="C337" s="3" t="s">
        <v>1044</v>
      </c>
      <c r="D337" s="3" t="s">
        <v>1045</v>
      </c>
      <c r="E337" s="3" t="s">
        <v>5</v>
      </c>
      <c r="F337" s="3" t="s">
        <v>6</v>
      </c>
      <c r="G337" s="6">
        <v>457730847.33999997</v>
      </c>
      <c r="H337" s="6">
        <v>2946915.69</v>
      </c>
      <c r="I337" s="6">
        <v>2394841.7000000002</v>
      </c>
      <c r="J337" s="6">
        <f t="shared" si="5"/>
        <v>552073.98999999976</v>
      </c>
      <c r="K337" s="3">
        <v>0.64</v>
      </c>
    </row>
    <row r="338" spans="1:11" s="3" customFormat="1" ht="15" customHeight="1" x14ac:dyDescent="0.25">
      <c r="A338" s="3" t="s">
        <v>979</v>
      </c>
      <c r="B338" s="3" t="s">
        <v>1046</v>
      </c>
      <c r="C338" s="3" t="s">
        <v>1047</v>
      </c>
      <c r="D338" s="3" t="s">
        <v>1048</v>
      </c>
      <c r="E338" s="3" t="s">
        <v>5</v>
      </c>
      <c r="F338" s="3" t="s">
        <v>6</v>
      </c>
      <c r="G338" s="6">
        <v>389992554.44999999</v>
      </c>
      <c r="H338" s="6">
        <v>580457.34</v>
      </c>
      <c r="I338" s="6">
        <v>400596.05</v>
      </c>
      <c r="J338" s="6">
        <f t="shared" si="5"/>
        <v>179861.28999999998</v>
      </c>
      <c r="K338" s="3">
        <v>0.14000000000000001</v>
      </c>
    </row>
    <row r="339" spans="1:11" s="3" customFormat="1" ht="15" customHeight="1" x14ac:dyDescent="0.25">
      <c r="A339" s="3" t="s">
        <v>979</v>
      </c>
      <c r="B339" s="3" t="s">
        <v>1049</v>
      </c>
      <c r="C339" s="3" t="s">
        <v>1050</v>
      </c>
      <c r="D339" s="3" t="s">
        <v>1051</v>
      </c>
      <c r="E339" s="3" t="s">
        <v>1052</v>
      </c>
      <c r="F339" s="3" t="s">
        <v>6</v>
      </c>
      <c r="G339" s="6">
        <v>341852504.94</v>
      </c>
      <c r="H339" s="6">
        <v>485473.19</v>
      </c>
      <c r="I339" s="6">
        <v>320773.90000000002</v>
      </c>
      <c r="J339" s="6">
        <f t="shared" si="5"/>
        <v>164699.28999999998</v>
      </c>
      <c r="K339" s="3">
        <v>0.14000000000000001</v>
      </c>
    </row>
    <row r="340" spans="1:11" s="3" customFormat="1" ht="15" customHeight="1" x14ac:dyDescent="0.25">
      <c r="A340" s="3" t="s">
        <v>979</v>
      </c>
      <c r="B340" s="3" t="s">
        <v>1053</v>
      </c>
      <c r="C340" s="3" t="s">
        <v>1054</v>
      </c>
      <c r="D340" s="3" t="s">
        <v>1055</v>
      </c>
      <c r="E340" s="3" t="s">
        <v>1056</v>
      </c>
      <c r="F340" s="3" t="s">
        <v>6</v>
      </c>
      <c r="G340" s="6">
        <v>292618598.25999999</v>
      </c>
      <c r="H340" s="6">
        <v>438994.07</v>
      </c>
      <c r="I340" s="6">
        <v>293886.28999999998</v>
      </c>
      <c r="J340" s="6">
        <f t="shared" si="5"/>
        <v>145107.78000000003</v>
      </c>
      <c r="K340" s="3">
        <v>0.15</v>
      </c>
    </row>
    <row r="341" spans="1:11" s="3" customFormat="1" ht="15" customHeight="1" x14ac:dyDescent="0.25">
      <c r="A341" s="3" t="s">
        <v>979</v>
      </c>
      <c r="B341" s="3" t="s">
        <v>1057</v>
      </c>
      <c r="C341" s="3" t="s">
        <v>1058</v>
      </c>
      <c r="D341" s="3" t="s">
        <v>1059</v>
      </c>
      <c r="E341" s="3" t="s">
        <v>5</v>
      </c>
      <c r="F341" s="3" t="s">
        <v>6</v>
      </c>
      <c r="G341" s="6">
        <v>289807719.70999998</v>
      </c>
      <c r="H341" s="6">
        <v>1307881.21</v>
      </c>
      <c r="I341" s="6">
        <v>1009002.24</v>
      </c>
      <c r="J341" s="6">
        <f t="shared" si="5"/>
        <v>298878.96999999997</v>
      </c>
      <c r="K341" s="3">
        <v>0.45</v>
      </c>
    </row>
    <row r="342" spans="1:11" s="3" customFormat="1" ht="15" customHeight="1" x14ac:dyDescent="0.25">
      <c r="A342" s="3" t="s">
        <v>979</v>
      </c>
      <c r="B342" s="3" t="s">
        <v>1060</v>
      </c>
      <c r="C342" s="3" t="s">
        <v>1061</v>
      </c>
      <c r="D342" s="3" t="s">
        <v>1062</v>
      </c>
      <c r="E342" s="3" t="s">
        <v>542</v>
      </c>
      <c r="F342" s="3" t="s">
        <v>6</v>
      </c>
      <c r="G342" s="6">
        <v>264914131.62</v>
      </c>
      <c r="H342" s="6">
        <v>603645.48</v>
      </c>
      <c r="I342" s="6">
        <v>406010.75</v>
      </c>
      <c r="J342" s="6">
        <f t="shared" si="5"/>
        <v>197634.72999999998</v>
      </c>
      <c r="K342" s="3">
        <v>0.22</v>
      </c>
    </row>
    <row r="343" spans="1:11" s="3" customFormat="1" ht="15" customHeight="1" x14ac:dyDescent="0.25">
      <c r="A343" s="3" t="s">
        <v>979</v>
      </c>
      <c r="B343" s="3" t="s">
        <v>1063</v>
      </c>
      <c r="C343" s="3" t="s">
        <v>1064</v>
      </c>
      <c r="D343" s="3" t="s">
        <v>1065</v>
      </c>
      <c r="E343" s="3" t="s">
        <v>1066</v>
      </c>
      <c r="F343" s="3" t="s">
        <v>6</v>
      </c>
      <c r="G343" s="6">
        <v>262953973.40000001</v>
      </c>
      <c r="H343" s="6">
        <v>484471.74</v>
      </c>
      <c r="I343" s="6">
        <v>339950.36</v>
      </c>
      <c r="J343" s="6">
        <f t="shared" si="5"/>
        <v>144521.38</v>
      </c>
      <c r="K343" s="3">
        <v>0.18</v>
      </c>
    </row>
    <row r="344" spans="1:11" s="3" customFormat="1" ht="15" customHeight="1" x14ac:dyDescent="0.25">
      <c r="A344" s="3" t="s">
        <v>979</v>
      </c>
      <c r="B344" s="3" t="s">
        <v>1067</v>
      </c>
      <c r="C344" s="3" t="s">
        <v>1068</v>
      </c>
      <c r="D344" s="3" t="s">
        <v>1069</v>
      </c>
      <c r="E344" s="3" t="s">
        <v>5</v>
      </c>
      <c r="F344" s="3" t="s">
        <v>6</v>
      </c>
      <c r="G344" s="6">
        <v>256565581.81</v>
      </c>
      <c r="H344" s="6">
        <v>579528.51</v>
      </c>
      <c r="I344" s="6">
        <v>424275.29</v>
      </c>
      <c r="J344" s="6">
        <f t="shared" si="5"/>
        <v>155253.22000000003</v>
      </c>
      <c r="K344" s="3">
        <v>0.22</v>
      </c>
    </row>
    <row r="345" spans="1:11" s="3" customFormat="1" ht="15" customHeight="1" x14ac:dyDescent="0.25">
      <c r="A345" s="3" t="s">
        <v>979</v>
      </c>
      <c r="B345" s="3" t="s">
        <v>1070</v>
      </c>
      <c r="C345" s="3" t="s">
        <v>1071</v>
      </c>
      <c r="D345" s="3" t="s">
        <v>1072</v>
      </c>
      <c r="E345" s="3" t="s">
        <v>5</v>
      </c>
      <c r="F345" s="3" t="s">
        <v>6</v>
      </c>
      <c r="G345" s="6">
        <v>227593771.87</v>
      </c>
      <c r="H345" s="6">
        <v>1122662.4099999999</v>
      </c>
      <c r="I345" s="6">
        <v>887700.22</v>
      </c>
      <c r="J345" s="6">
        <f t="shared" si="5"/>
        <v>234962.18999999994</v>
      </c>
      <c r="K345" s="3">
        <v>0.49</v>
      </c>
    </row>
    <row r="346" spans="1:11" s="3" customFormat="1" ht="15" customHeight="1" x14ac:dyDescent="0.25">
      <c r="A346" s="3" t="s">
        <v>979</v>
      </c>
      <c r="B346" s="3" t="s">
        <v>788</v>
      </c>
      <c r="C346" s="3" t="s">
        <v>1073</v>
      </c>
      <c r="D346" s="3" t="s">
        <v>1074</v>
      </c>
      <c r="E346" s="3" t="s">
        <v>1075</v>
      </c>
      <c r="F346" s="3" t="s">
        <v>1076</v>
      </c>
      <c r="G346" s="6">
        <v>219054807.53999999</v>
      </c>
      <c r="H346" s="6">
        <v>155131.74</v>
      </c>
      <c r="I346" s="6">
        <v>103435.95</v>
      </c>
      <c r="J346" s="6">
        <f t="shared" si="5"/>
        <v>51695.789999999994</v>
      </c>
      <c r="K346" s="3">
        <v>7.0000000000000007E-2</v>
      </c>
    </row>
    <row r="347" spans="1:11" s="3" customFormat="1" ht="15" customHeight="1" x14ac:dyDescent="0.25">
      <c r="A347" s="3" t="s">
        <v>979</v>
      </c>
      <c r="B347" s="3" t="s">
        <v>1077</v>
      </c>
      <c r="C347" s="3" t="s">
        <v>1078</v>
      </c>
      <c r="D347" s="3" t="s">
        <v>1079</v>
      </c>
      <c r="E347" s="3" t="s">
        <v>5</v>
      </c>
      <c r="F347" s="3" t="s">
        <v>6</v>
      </c>
      <c r="G347" s="6">
        <v>211142596.91999999</v>
      </c>
      <c r="H347" s="6">
        <v>667065.34</v>
      </c>
      <c r="I347" s="6">
        <v>502965.24</v>
      </c>
      <c r="J347" s="6">
        <f t="shared" si="5"/>
        <v>164100.09999999998</v>
      </c>
      <c r="K347" s="3">
        <v>0.31</v>
      </c>
    </row>
    <row r="348" spans="1:11" s="3" customFormat="1" ht="15" customHeight="1" x14ac:dyDescent="0.25">
      <c r="A348" s="3" t="s">
        <v>979</v>
      </c>
      <c r="B348" s="3" t="s">
        <v>1080</v>
      </c>
      <c r="C348" s="3" t="s">
        <v>1081</v>
      </c>
      <c r="D348" s="3" t="s">
        <v>1082</v>
      </c>
      <c r="E348" s="3" t="s">
        <v>5</v>
      </c>
      <c r="F348" s="3" t="s">
        <v>6</v>
      </c>
      <c r="G348" s="6">
        <v>208279962.31</v>
      </c>
      <c r="H348" s="6">
        <v>180331.07</v>
      </c>
      <c r="I348" s="6">
        <v>117215.78</v>
      </c>
      <c r="J348" s="6">
        <f t="shared" si="5"/>
        <v>63115.290000000008</v>
      </c>
      <c r="K348" s="3">
        <v>0.08</v>
      </c>
    </row>
    <row r="349" spans="1:11" s="3" customFormat="1" ht="15" customHeight="1" x14ac:dyDescent="0.25">
      <c r="A349" s="3" t="s">
        <v>979</v>
      </c>
      <c r="B349" s="3" t="s">
        <v>17</v>
      </c>
      <c r="C349" s="3" t="s">
        <v>979</v>
      </c>
      <c r="D349" s="3" t="s">
        <v>1083</v>
      </c>
      <c r="E349" s="3" t="s">
        <v>5</v>
      </c>
      <c r="F349" s="3" t="s">
        <v>6</v>
      </c>
      <c r="G349" s="6">
        <v>193858506.72999999</v>
      </c>
      <c r="H349" s="6">
        <v>11296.65</v>
      </c>
      <c r="I349" s="6">
        <v>0</v>
      </c>
      <c r="J349" s="6">
        <f t="shared" si="5"/>
        <v>11296.65</v>
      </c>
      <c r="K349" s="3">
        <v>0</v>
      </c>
    </row>
    <row r="350" spans="1:11" s="3" customFormat="1" ht="15" customHeight="1" x14ac:dyDescent="0.25">
      <c r="A350" s="3" t="s">
        <v>979</v>
      </c>
      <c r="B350" s="3" t="s">
        <v>443</v>
      </c>
      <c r="C350" s="3" t="s">
        <v>1084</v>
      </c>
      <c r="D350" s="3" t="s">
        <v>1085</v>
      </c>
      <c r="E350" s="3" t="s">
        <v>5</v>
      </c>
      <c r="F350" s="3" t="s">
        <v>6</v>
      </c>
      <c r="G350" s="6">
        <v>177982290.16999999</v>
      </c>
      <c r="H350" s="6">
        <v>447600.61</v>
      </c>
      <c r="I350" s="6">
        <v>292774.55</v>
      </c>
      <c r="J350" s="6">
        <f t="shared" si="5"/>
        <v>154826.06</v>
      </c>
      <c r="K350" s="3">
        <v>0.25</v>
      </c>
    </row>
    <row r="351" spans="1:11" s="3" customFormat="1" ht="15" customHeight="1" x14ac:dyDescent="0.25">
      <c r="A351" s="3" t="s">
        <v>979</v>
      </c>
      <c r="B351" s="3" t="s">
        <v>1086</v>
      </c>
      <c r="C351" s="3" t="s">
        <v>1087</v>
      </c>
      <c r="D351" s="3" t="s">
        <v>1088</v>
      </c>
      <c r="E351" s="3" t="s">
        <v>5</v>
      </c>
      <c r="F351" s="3" t="s">
        <v>6</v>
      </c>
      <c r="G351" s="6">
        <v>131480307.11</v>
      </c>
      <c r="H351" s="6">
        <v>402639.16</v>
      </c>
      <c r="I351" s="6">
        <v>260862.59</v>
      </c>
      <c r="J351" s="6">
        <f t="shared" si="5"/>
        <v>141776.56999999998</v>
      </c>
      <c r="K351" s="3">
        <v>0.3</v>
      </c>
    </row>
    <row r="352" spans="1:11" s="3" customFormat="1" ht="15" customHeight="1" x14ac:dyDescent="0.25">
      <c r="A352" s="3" t="s">
        <v>979</v>
      </c>
      <c r="B352" s="3" t="s">
        <v>474</v>
      </c>
      <c r="C352" s="3" t="s">
        <v>1089</v>
      </c>
      <c r="D352" s="3" t="s">
        <v>1090</v>
      </c>
      <c r="E352" s="3" t="s">
        <v>5</v>
      </c>
      <c r="F352" s="3" t="s">
        <v>6</v>
      </c>
      <c r="G352" s="6">
        <v>122628243.98999999</v>
      </c>
      <c r="H352" s="6">
        <v>350643.98</v>
      </c>
      <c r="I352" s="6">
        <v>255177.59</v>
      </c>
      <c r="J352" s="6">
        <f t="shared" si="5"/>
        <v>95466.389999999985</v>
      </c>
      <c r="K352" s="3">
        <v>0.28000000000000003</v>
      </c>
    </row>
    <row r="353" spans="1:11" s="3" customFormat="1" ht="15" customHeight="1" x14ac:dyDescent="0.25">
      <c r="A353" s="3" t="s">
        <v>979</v>
      </c>
      <c r="B353" s="3" t="s">
        <v>1091</v>
      </c>
      <c r="C353" s="3" t="s">
        <v>1092</v>
      </c>
      <c r="D353" s="3" t="s">
        <v>1093</v>
      </c>
      <c r="E353" s="3" t="s">
        <v>1094</v>
      </c>
      <c r="F353" s="3" t="s">
        <v>6</v>
      </c>
      <c r="G353" s="6">
        <v>94034269.379999995</v>
      </c>
      <c r="H353" s="6">
        <v>289924.15999999997</v>
      </c>
      <c r="I353" s="6">
        <v>150095.13</v>
      </c>
      <c r="J353" s="6">
        <f t="shared" si="5"/>
        <v>139829.02999999997</v>
      </c>
      <c r="K353" s="3">
        <v>0.3</v>
      </c>
    </row>
    <row r="354" spans="1:11" s="3" customFormat="1" ht="15" customHeight="1" x14ac:dyDescent="0.25">
      <c r="A354" s="3" t="s">
        <v>979</v>
      </c>
      <c r="B354" s="3" t="s">
        <v>1095</v>
      </c>
      <c r="C354" s="3" t="s">
        <v>1096</v>
      </c>
      <c r="D354" s="3" t="s">
        <v>1097</v>
      </c>
      <c r="E354" s="3" t="s">
        <v>5</v>
      </c>
      <c r="F354" s="3" t="s">
        <v>6</v>
      </c>
      <c r="G354" s="6">
        <v>93893915.099999994</v>
      </c>
      <c r="H354" s="6">
        <v>210089.26</v>
      </c>
      <c r="I354" s="6">
        <v>149462.70000000001</v>
      </c>
      <c r="J354" s="6">
        <f t="shared" si="5"/>
        <v>60626.559999999998</v>
      </c>
      <c r="K354" s="3">
        <v>0.22</v>
      </c>
    </row>
    <row r="355" spans="1:11" s="3" customFormat="1" ht="15" customHeight="1" x14ac:dyDescent="0.25">
      <c r="A355" s="3" t="s">
        <v>979</v>
      </c>
      <c r="B355" s="3" t="s">
        <v>1098</v>
      </c>
      <c r="C355" s="3" t="s">
        <v>1099</v>
      </c>
      <c r="D355" s="3" t="s">
        <v>1100</v>
      </c>
      <c r="E355" s="3" t="s">
        <v>5</v>
      </c>
      <c r="F355" s="3" t="s">
        <v>6</v>
      </c>
      <c r="G355" s="6">
        <v>82084537.900000006</v>
      </c>
      <c r="H355" s="6">
        <v>190500.13</v>
      </c>
      <c r="I355" s="6">
        <v>135447.59</v>
      </c>
      <c r="J355" s="6">
        <f t="shared" si="5"/>
        <v>55052.540000000008</v>
      </c>
      <c r="K355" s="3">
        <v>0.23</v>
      </c>
    </row>
    <row r="356" spans="1:11" s="3" customFormat="1" ht="15" customHeight="1" x14ac:dyDescent="0.25">
      <c r="A356" s="3" t="s">
        <v>979</v>
      </c>
      <c r="B356" s="3" t="s">
        <v>1101</v>
      </c>
      <c r="C356" s="3" t="s">
        <v>1102</v>
      </c>
      <c r="D356" s="3" t="s">
        <v>1103</v>
      </c>
      <c r="E356" s="3" t="s">
        <v>5</v>
      </c>
      <c r="F356" s="3" t="s">
        <v>6</v>
      </c>
      <c r="G356" s="6">
        <v>82023373.170000002</v>
      </c>
      <c r="H356" s="6">
        <v>147540.01</v>
      </c>
      <c r="I356" s="6">
        <v>65146.79</v>
      </c>
      <c r="J356" s="6">
        <f t="shared" si="5"/>
        <v>82393.22</v>
      </c>
      <c r="K356" s="3">
        <v>0.17</v>
      </c>
    </row>
    <row r="357" spans="1:11" s="3" customFormat="1" ht="15" customHeight="1" x14ac:dyDescent="0.25">
      <c r="A357" s="3" t="s">
        <v>979</v>
      </c>
      <c r="B357" s="3" t="s">
        <v>1104</v>
      </c>
      <c r="C357" s="3" t="s">
        <v>1105</v>
      </c>
      <c r="D357" s="3" t="s">
        <v>1106</v>
      </c>
      <c r="E357" s="3" t="s">
        <v>5</v>
      </c>
      <c r="F357" s="3" t="s">
        <v>6</v>
      </c>
      <c r="G357" s="6">
        <v>81139227.420000002</v>
      </c>
      <c r="H357" s="6">
        <v>154701.85</v>
      </c>
      <c r="I357" s="6">
        <v>103677.84</v>
      </c>
      <c r="J357" s="6">
        <f t="shared" si="5"/>
        <v>51024.010000000009</v>
      </c>
      <c r="K357" s="3">
        <v>0.19</v>
      </c>
    </row>
    <row r="358" spans="1:11" s="3" customFormat="1" ht="15" customHeight="1" x14ac:dyDescent="0.25">
      <c r="A358" s="3" t="s">
        <v>979</v>
      </c>
      <c r="B358" s="3" t="s">
        <v>1107</v>
      </c>
      <c r="C358" s="3" t="s">
        <v>1108</v>
      </c>
      <c r="D358" s="3" t="s">
        <v>985</v>
      </c>
      <c r="E358" s="3" t="s">
        <v>76</v>
      </c>
      <c r="F358" s="3" t="s">
        <v>6</v>
      </c>
      <c r="G358" s="6">
        <v>80708073.950000003</v>
      </c>
      <c r="H358" s="6">
        <v>241835.94</v>
      </c>
      <c r="I358" s="6">
        <v>149693.38</v>
      </c>
      <c r="J358" s="6">
        <f t="shared" si="5"/>
        <v>92142.56</v>
      </c>
      <c r="K358" s="3">
        <v>0.28999999999999998</v>
      </c>
    </row>
    <row r="359" spans="1:11" s="3" customFormat="1" ht="15" customHeight="1" x14ac:dyDescent="0.25">
      <c r="A359" s="3" t="s">
        <v>979</v>
      </c>
      <c r="B359" s="3" t="s">
        <v>1109</v>
      </c>
      <c r="C359" s="3" t="s">
        <v>1110</v>
      </c>
      <c r="D359" s="3" t="s">
        <v>1111</v>
      </c>
      <c r="E359" s="3" t="s">
        <v>5</v>
      </c>
      <c r="F359" s="3" t="s">
        <v>6</v>
      </c>
      <c r="G359" s="6">
        <v>78564176.310000002</v>
      </c>
      <c r="H359" s="6">
        <v>741548.78</v>
      </c>
      <c r="I359" s="6">
        <v>434005.54</v>
      </c>
      <c r="J359" s="6">
        <f t="shared" si="5"/>
        <v>307543.24000000005</v>
      </c>
      <c r="K359" s="3">
        <v>0.94</v>
      </c>
    </row>
    <row r="360" spans="1:11" s="3" customFormat="1" ht="15" customHeight="1" x14ac:dyDescent="0.25">
      <c r="A360" s="3" t="s">
        <v>979</v>
      </c>
      <c r="B360" s="3" t="s">
        <v>1112</v>
      </c>
      <c r="C360" s="3" t="s">
        <v>1113</v>
      </c>
      <c r="D360" s="3" t="s">
        <v>1114</v>
      </c>
      <c r="E360" s="3" t="s">
        <v>5</v>
      </c>
      <c r="F360" s="3" t="s">
        <v>6</v>
      </c>
      <c r="G360" s="6">
        <v>73830441.569999993</v>
      </c>
      <c r="H360" s="6">
        <v>302154.43</v>
      </c>
      <c r="I360" s="6">
        <v>132193.88</v>
      </c>
      <c r="J360" s="6">
        <f t="shared" si="5"/>
        <v>169960.55</v>
      </c>
      <c r="K360" s="3">
        <v>0.4</v>
      </c>
    </row>
    <row r="361" spans="1:11" s="3" customFormat="1" ht="15" customHeight="1" x14ac:dyDescent="0.25">
      <c r="A361" s="3" t="s">
        <v>979</v>
      </c>
      <c r="B361" s="3" t="s">
        <v>346</v>
      </c>
      <c r="C361" s="3" t="s">
        <v>1115</v>
      </c>
      <c r="D361" s="3" t="s">
        <v>1116</v>
      </c>
      <c r="E361" s="3" t="s">
        <v>5</v>
      </c>
      <c r="F361" s="3" t="s">
        <v>6</v>
      </c>
      <c r="G361" s="6">
        <v>60838571.780000001</v>
      </c>
      <c r="H361" s="6">
        <v>91718.31</v>
      </c>
      <c r="I361" s="6">
        <v>49242.39</v>
      </c>
      <c r="J361" s="6">
        <f t="shared" si="5"/>
        <v>42475.92</v>
      </c>
      <c r="K361" s="3">
        <v>0.15</v>
      </c>
    </row>
    <row r="362" spans="1:11" s="3" customFormat="1" ht="15" customHeight="1" x14ac:dyDescent="0.25">
      <c r="A362" s="3" t="s">
        <v>979</v>
      </c>
      <c r="B362" s="3" t="s">
        <v>17</v>
      </c>
      <c r="C362" s="3" t="s">
        <v>1117</v>
      </c>
      <c r="D362" s="3" t="s">
        <v>1118</v>
      </c>
      <c r="E362" s="3" t="s">
        <v>5</v>
      </c>
      <c r="F362" s="3" t="s">
        <v>6</v>
      </c>
      <c r="G362" s="6">
        <v>60175762.390000001</v>
      </c>
      <c r="H362" s="6">
        <v>246180.12</v>
      </c>
      <c r="I362" s="6">
        <v>164331.65</v>
      </c>
      <c r="J362" s="6">
        <f t="shared" si="5"/>
        <v>81848.47</v>
      </c>
      <c r="K362" s="3">
        <v>0.4</v>
      </c>
    </row>
    <row r="363" spans="1:11" s="3" customFormat="1" ht="15" customHeight="1" x14ac:dyDescent="0.25">
      <c r="A363" s="3" t="s">
        <v>979</v>
      </c>
      <c r="B363" s="3" t="s">
        <v>17</v>
      </c>
      <c r="C363" s="3" t="s">
        <v>1119</v>
      </c>
      <c r="D363" s="3" t="s">
        <v>1120</v>
      </c>
      <c r="E363" s="3" t="s">
        <v>5</v>
      </c>
      <c r="F363" s="3" t="s">
        <v>6</v>
      </c>
      <c r="G363" s="6">
        <v>53073801.25</v>
      </c>
      <c r="H363" s="6">
        <v>64907.51</v>
      </c>
      <c r="I363" s="6">
        <v>30258.54</v>
      </c>
      <c r="J363" s="6">
        <f t="shared" si="5"/>
        <v>34648.97</v>
      </c>
      <c r="K363" s="3">
        <v>0.12</v>
      </c>
    </row>
    <row r="364" spans="1:11" s="3" customFormat="1" ht="15" customHeight="1" x14ac:dyDescent="0.25">
      <c r="A364" s="3" t="s">
        <v>979</v>
      </c>
      <c r="B364" s="3" t="s">
        <v>1121</v>
      </c>
      <c r="C364" s="3" t="s">
        <v>1122</v>
      </c>
      <c r="D364" s="3" t="s">
        <v>1123</v>
      </c>
      <c r="E364" s="3" t="s">
        <v>5</v>
      </c>
      <c r="F364" s="3" t="s">
        <v>6</v>
      </c>
      <c r="G364" s="6">
        <v>47831718.789999999</v>
      </c>
      <c r="H364" s="6">
        <v>178112.96</v>
      </c>
      <c r="I364" s="6">
        <v>135537.70000000001</v>
      </c>
      <c r="J364" s="6">
        <f t="shared" si="5"/>
        <v>42575.25999999998</v>
      </c>
      <c r="K364" s="3">
        <v>0.37</v>
      </c>
    </row>
    <row r="365" spans="1:11" s="3" customFormat="1" ht="15" customHeight="1" x14ac:dyDescent="0.25">
      <c r="A365" s="3" t="s">
        <v>979</v>
      </c>
      <c r="B365" s="3" t="s">
        <v>1124</v>
      </c>
      <c r="C365" s="3" t="s">
        <v>1125</v>
      </c>
      <c r="D365" s="3" t="s">
        <v>1126</v>
      </c>
      <c r="E365" s="3" t="s">
        <v>5</v>
      </c>
      <c r="F365" s="3" t="s">
        <v>6</v>
      </c>
      <c r="G365" s="6">
        <v>47743405</v>
      </c>
      <c r="H365" s="6">
        <v>32638.73</v>
      </c>
      <c r="I365" s="6">
        <v>20816.080000000002</v>
      </c>
      <c r="J365" s="6">
        <f t="shared" si="5"/>
        <v>11822.649999999998</v>
      </c>
      <c r="K365" s="3">
        <v>0.06</v>
      </c>
    </row>
    <row r="366" spans="1:11" s="3" customFormat="1" ht="15" customHeight="1" x14ac:dyDescent="0.25">
      <c r="A366" s="3" t="s">
        <v>979</v>
      </c>
      <c r="B366" s="3" t="s">
        <v>1127</v>
      </c>
      <c r="C366" s="3" t="s">
        <v>1128</v>
      </c>
      <c r="D366" s="3" t="s">
        <v>1129</v>
      </c>
      <c r="E366" s="3" t="s">
        <v>1130</v>
      </c>
      <c r="F366" s="3" t="s">
        <v>1131</v>
      </c>
      <c r="G366" s="6">
        <v>41362162.75</v>
      </c>
      <c r="H366" s="6">
        <v>113829.22</v>
      </c>
      <c r="I366" s="6">
        <v>76572.97</v>
      </c>
      <c r="J366" s="6">
        <f t="shared" si="5"/>
        <v>37256.25</v>
      </c>
      <c r="K366" s="3">
        <v>0.27</v>
      </c>
    </row>
    <row r="367" spans="1:11" s="3" customFormat="1" ht="15" customHeight="1" x14ac:dyDescent="0.25">
      <c r="A367" s="3" t="s">
        <v>979</v>
      </c>
      <c r="B367" s="3" t="s">
        <v>1132</v>
      </c>
      <c r="C367" s="3" t="s">
        <v>1133</v>
      </c>
      <c r="D367" s="3" t="s">
        <v>1134</v>
      </c>
      <c r="E367" s="3" t="s">
        <v>5</v>
      </c>
      <c r="F367" s="3" t="s">
        <v>6</v>
      </c>
      <c r="G367" s="6">
        <v>40984258.759999998</v>
      </c>
      <c r="H367" s="6">
        <v>149890.85999999999</v>
      </c>
      <c r="I367" s="6">
        <v>110024.35</v>
      </c>
      <c r="J367" s="6">
        <f t="shared" si="5"/>
        <v>39866.50999999998</v>
      </c>
      <c r="K367" s="3">
        <v>0.36</v>
      </c>
    </row>
    <row r="368" spans="1:11" s="3" customFormat="1" ht="15" customHeight="1" x14ac:dyDescent="0.25">
      <c r="A368" s="3" t="s">
        <v>979</v>
      </c>
      <c r="B368" s="3" t="s">
        <v>1135</v>
      </c>
      <c r="C368" s="3" t="s">
        <v>1136</v>
      </c>
      <c r="D368" s="3" t="s">
        <v>1137</v>
      </c>
      <c r="E368" s="3" t="s">
        <v>5</v>
      </c>
      <c r="F368" s="3" t="s">
        <v>6</v>
      </c>
      <c r="G368" s="6">
        <v>38499923.240000002</v>
      </c>
      <c r="H368" s="6">
        <v>128210.62</v>
      </c>
      <c r="I368" s="6">
        <v>90979.14</v>
      </c>
      <c r="J368" s="6">
        <f t="shared" si="5"/>
        <v>37231.479999999996</v>
      </c>
      <c r="K368" s="3">
        <v>0.33</v>
      </c>
    </row>
    <row r="369" spans="1:11" s="3" customFormat="1" ht="15" customHeight="1" x14ac:dyDescent="0.25">
      <c r="A369" s="3" t="s">
        <v>979</v>
      </c>
      <c r="B369" s="3" t="s">
        <v>1138</v>
      </c>
      <c r="C369" s="3" t="s">
        <v>1139</v>
      </c>
      <c r="D369" s="3" t="s">
        <v>1140</v>
      </c>
      <c r="E369" s="3" t="s">
        <v>5</v>
      </c>
      <c r="F369" s="3" t="s">
        <v>6</v>
      </c>
      <c r="G369" s="6">
        <v>36180660.18</v>
      </c>
      <c r="H369" s="6">
        <v>142123.13</v>
      </c>
      <c r="I369" s="6">
        <v>100890.41</v>
      </c>
      <c r="J369" s="6">
        <f t="shared" si="5"/>
        <v>41232.720000000001</v>
      </c>
      <c r="K369" s="3">
        <v>0.39</v>
      </c>
    </row>
    <row r="370" spans="1:11" s="3" customFormat="1" ht="15" customHeight="1" x14ac:dyDescent="0.25">
      <c r="A370" s="3" t="s">
        <v>979</v>
      </c>
      <c r="B370" s="3" t="s">
        <v>1141</v>
      </c>
      <c r="C370" s="3" t="s">
        <v>1142</v>
      </c>
      <c r="D370" s="3" t="s">
        <v>1143</v>
      </c>
      <c r="E370" s="3" t="s">
        <v>5</v>
      </c>
      <c r="F370" s="3" t="s">
        <v>6</v>
      </c>
      <c r="G370" s="6">
        <v>35468891.130000003</v>
      </c>
      <c r="H370" s="6">
        <v>144549.46</v>
      </c>
      <c r="I370" s="6">
        <v>103430.52</v>
      </c>
      <c r="J370" s="6">
        <f t="shared" si="5"/>
        <v>41118.939999999988</v>
      </c>
      <c r="K370" s="3">
        <v>0.4</v>
      </c>
    </row>
    <row r="371" spans="1:11" s="3" customFormat="1" ht="15" customHeight="1" x14ac:dyDescent="0.25">
      <c r="A371" s="3" t="s">
        <v>979</v>
      </c>
      <c r="B371" s="3" t="s">
        <v>1144</v>
      </c>
      <c r="C371" s="3" t="s">
        <v>1145</v>
      </c>
      <c r="D371" s="3" t="s">
        <v>1146</v>
      </c>
      <c r="E371" s="3" t="s">
        <v>5</v>
      </c>
      <c r="F371" s="3" t="s">
        <v>6</v>
      </c>
      <c r="G371" s="6">
        <v>33456105.829999998</v>
      </c>
      <c r="H371" s="6">
        <v>91127.53</v>
      </c>
      <c r="I371" s="6">
        <v>61663.88</v>
      </c>
      <c r="J371" s="6">
        <f t="shared" si="5"/>
        <v>29463.65</v>
      </c>
      <c r="K371" s="3">
        <v>0.27</v>
      </c>
    </row>
    <row r="372" spans="1:11" s="3" customFormat="1" ht="15" customHeight="1" x14ac:dyDescent="0.25">
      <c r="A372" s="3" t="s">
        <v>979</v>
      </c>
      <c r="B372" s="3" t="s">
        <v>1147</v>
      </c>
      <c r="C372" s="3" t="s">
        <v>1148</v>
      </c>
      <c r="D372" s="3" t="s">
        <v>1149</v>
      </c>
      <c r="E372" s="3" t="s">
        <v>5</v>
      </c>
      <c r="F372" s="3" t="s">
        <v>6</v>
      </c>
      <c r="G372" s="6">
        <v>30423375.149999999</v>
      </c>
      <c r="H372" s="6">
        <v>125991.46</v>
      </c>
      <c r="I372" s="6">
        <v>93590.49</v>
      </c>
      <c r="J372" s="6">
        <f t="shared" si="5"/>
        <v>32400.97</v>
      </c>
      <c r="K372" s="3">
        <v>0.41</v>
      </c>
    </row>
    <row r="373" spans="1:11" s="3" customFormat="1" ht="15" customHeight="1" x14ac:dyDescent="0.25">
      <c r="A373" s="3" t="s">
        <v>979</v>
      </c>
      <c r="B373" s="3" t="s">
        <v>1150</v>
      </c>
      <c r="C373" s="3" t="s">
        <v>1151</v>
      </c>
      <c r="D373" s="3" t="s">
        <v>1152</v>
      </c>
      <c r="E373" s="3" t="s">
        <v>5</v>
      </c>
      <c r="F373" s="3" t="s">
        <v>6</v>
      </c>
      <c r="G373" s="6">
        <v>25604574.329999998</v>
      </c>
      <c r="H373" s="6">
        <v>176773.32</v>
      </c>
      <c r="I373" s="6">
        <v>151142.25</v>
      </c>
      <c r="J373" s="6">
        <f t="shared" si="5"/>
        <v>25631.070000000007</v>
      </c>
      <c r="K373" s="3">
        <v>0.69</v>
      </c>
    </row>
    <row r="374" spans="1:11" s="3" customFormat="1" ht="15" customHeight="1" x14ac:dyDescent="0.25">
      <c r="A374" s="3" t="s">
        <v>979</v>
      </c>
      <c r="B374" s="3" t="s">
        <v>1135</v>
      </c>
      <c r="C374" s="3" t="s">
        <v>1153</v>
      </c>
      <c r="D374" s="3" t="s">
        <v>1154</v>
      </c>
      <c r="E374" s="3" t="s">
        <v>5</v>
      </c>
      <c r="F374" s="3" t="s">
        <v>6</v>
      </c>
      <c r="G374" s="6">
        <v>24232534.149999999</v>
      </c>
      <c r="H374" s="6">
        <v>39971.730000000003</v>
      </c>
      <c r="I374" s="6">
        <v>15251.28</v>
      </c>
      <c r="J374" s="6">
        <f t="shared" si="5"/>
        <v>24720.450000000004</v>
      </c>
      <c r="K374" s="3">
        <v>0.16</v>
      </c>
    </row>
    <row r="375" spans="1:11" s="3" customFormat="1" ht="15" customHeight="1" x14ac:dyDescent="0.25">
      <c r="A375" s="3" t="s">
        <v>979</v>
      </c>
      <c r="B375" s="3" t="s">
        <v>1155</v>
      </c>
      <c r="C375" s="3" t="s">
        <v>1156</v>
      </c>
      <c r="D375" s="3" t="s">
        <v>1157</v>
      </c>
      <c r="E375" s="3" t="s">
        <v>5</v>
      </c>
      <c r="F375" s="3" t="s">
        <v>6</v>
      </c>
      <c r="G375" s="6">
        <v>21606939.84</v>
      </c>
      <c r="H375" s="6">
        <v>51137.96</v>
      </c>
      <c r="I375" s="6">
        <v>33499.64</v>
      </c>
      <c r="J375" s="6">
        <f t="shared" si="5"/>
        <v>17638.32</v>
      </c>
      <c r="K375" s="3">
        <v>0.23</v>
      </c>
    </row>
    <row r="376" spans="1:11" s="3" customFormat="1" ht="15" customHeight="1" x14ac:dyDescent="0.25">
      <c r="A376" s="3" t="s">
        <v>979</v>
      </c>
      <c r="B376" s="3" t="s">
        <v>1158</v>
      </c>
      <c r="C376" s="3" t="s">
        <v>1159</v>
      </c>
      <c r="D376" s="3" t="s">
        <v>1160</v>
      </c>
      <c r="E376" s="3" t="s">
        <v>5</v>
      </c>
      <c r="F376" s="3" t="s">
        <v>6</v>
      </c>
      <c r="G376" s="6">
        <v>20606737.190000001</v>
      </c>
      <c r="H376" s="6">
        <v>105150.37</v>
      </c>
      <c r="I376" s="6">
        <v>56125.03</v>
      </c>
      <c r="J376" s="6">
        <f t="shared" si="5"/>
        <v>49025.34</v>
      </c>
      <c r="K376" s="3">
        <v>0.51</v>
      </c>
    </row>
    <row r="377" spans="1:11" s="3" customFormat="1" ht="15" customHeight="1" x14ac:dyDescent="0.25">
      <c r="A377" s="3" t="s">
        <v>979</v>
      </c>
      <c r="B377" s="3" t="s">
        <v>1161</v>
      </c>
      <c r="C377" s="3" t="s">
        <v>1162</v>
      </c>
      <c r="D377" s="3" t="s">
        <v>1163</v>
      </c>
      <c r="E377" s="3" t="s">
        <v>5</v>
      </c>
      <c r="F377" s="3" t="s">
        <v>6</v>
      </c>
      <c r="G377" s="6">
        <v>19882484.050000001</v>
      </c>
      <c r="H377" s="6">
        <v>95229.29</v>
      </c>
      <c r="I377" s="6">
        <v>47582</v>
      </c>
      <c r="J377" s="6">
        <f t="shared" si="5"/>
        <v>47647.289999999994</v>
      </c>
      <c r="K377" s="3">
        <v>0.47</v>
      </c>
    </row>
    <row r="378" spans="1:11" s="3" customFormat="1" ht="15" customHeight="1" x14ac:dyDescent="0.25">
      <c r="A378" s="3" t="s">
        <v>979</v>
      </c>
      <c r="B378" s="3" t="s">
        <v>1164</v>
      </c>
      <c r="C378" s="3" t="s">
        <v>1165</v>
      </c>
      <c r="D378" s="3" t="s">
        <v>1166</v>
      </c>
      <c r="E378" s="3" t="s">
        <v>5</v>
      </c>
      <c r="F378" s="3" t="s">
        <v>6</v>
      </c>
      <c r="G378" s="6">
        <v>18139504.629999999</v>
      </c>
      <c r="H378" s="6">
        <v>152688.95999999999</v>
      </c>
      <c r="I378" s="6">
        <v>116402.53</v>
      </c>
      <c r="J378" s="6">
        <f t="shared" si="5"/>
        <v>36286.429999999993</v>
      </c>
      <c r="K378" s="3">
        <v>0.84</v>
      </c>
    </row>
    <row r="379" spans="1:11" s="3" customFormat="1" ht="15" customHeight="1" x14ac:dyDescent="0.25">
      <c r="A379" s="3" t="s">
        <v>979</v>
      </c>
      <c r="B379" s="3" t="s">
        <v>1167</v>
      </c>
      <c r="C379" s="3" t="s">
        <v>1168</v>
      </c>
      <c r="D379" s="3" t="s">
        <v>1169</v>
      </c>
      <c r="E379" s="3" t="s">
        <v>5</v>
      </c>
      <c r="F379" s="3" t="s">
        <v>6</v>
      </c>
      <c r="G379" s="6">
        <v>17780110.82</v>
      </c>
      <c r="H379" s="6">
        <v>48354.39</v>
      </c>
      <c r="I379" s="6">
        <v>33948.870000000003</v>
      </c>
      <c r="J379" s="6">
        <f t="shared" si="5"/>
        <v>14405.519999999997</v>
      </c>
      <c r="K379" s="3">
        <v>0.27</v>
      </c>
    </row>
    <row r="380" spans="1:11" s="3" customFormat="1" ht="15" customHeight="1" x14ac:dyDescent="0.25">
      <c r="A380" s="3" t="s">
        <v>979</v>
      </c>
      <c r="B380" s="3" t="s">
        <v>1170</v>
      </c>
      <c r="C380" s="3" t="s">
        <v>1171</v>
      </c>
      <c r="D380" s="3" t="s">
        <v>1172</v>
      </c>
      <c r="E380" s="3" t="s">
        <v>5</v>
      </c>
      <c r="F380" s="3" t="s">
        <v>6</v>
      </c>
      <c r="G380" s="6">
        <v>16995277.550000001</v>
      </c>
      <c r="H380" s="6">
        <v>78718.41</v>
      </c>
      <c r="I380" s="6">
        <v>44737.86</v>
      </c>
      <c r="J380" s="6">
        <f t="shared" si="5"/>
        <v>33980.550000000003</v>
      </c>
      <c r="K380" s="3">
        <v>0.46</v>
      </c>
    </row>
    <row r="381" spans="1:11" s="3" customFormat="1" ht="15" customHeight="1" x14ac:dyDescent="0.25">
      <c r="A381" s="3" t="s">
        <v>979</v>
      </c>
      <c r="B381" s="3" t="s">
        <v>1173</v>
      </c>
      <c r="C381" s="3" t="s">
        <v>1174</v>
      </c>
      <c r="D381" s="3" t="s">
        <v>1175</v>
      </c>
      <c r="E381" s="3" t="s">
        <v>5</v>
      </c>
      <c r="F381" s="3" t="s">
        <v>6</v>
      </c>
      <c r="G381" s="6">
        <v>13916923.060000001</v>
      </c>
      <c r="H381" s="6">
        <v>22440.83</v>
      </c>
      <c r="I381" s="6">
        <v>9018.89</v>
      </c>
      <c r="J381" s="6">
        <f t="shared" si="5"/>
        <v>13421.940000000002</v>
      </c>
      <c r="K381" s="3">
        <v>0.16</v>
      </c>
    </row>
    <row r="382" spans="1:11" s="3" customFormat="1" ht="15" customHeight="1" x14ac:dyDescent="0.25">
      <c r="A382" s="3" t="s">
        <v>979</v>
      </c>
      <c r="B382" s="3" t="s">
        <v>1176</v>
      </c>
      <c r="C382" s="3" t="s">
        <v>1177</v>
      </c>
      <c r="D382" s="3" t="s">
        <v>1178</v>
      </c>
      <c r="E382" s="3" t="s">
        <v>5</v>
      </c>
      <c r="F382" s="3" t="s">
        <v>6</v>
      </c>
      <c r="G382" s="6">
        <v>10202941.43</v>
      </c>
      <c r="H382" s="6">
        <v>45501.46</v>
      </c>
      <c r="I382" s="6">
        <v>35992.800000000003</v>
      </c>
      <c r="J382" s="6">
        <f t="shared" si="5"/>
        <v>9508.6599999999962</v>
      </c>
      <c r="K382" s="3">
        <v>0.44</v>
      </c>
    </row>
    <row r="383" spans="1:11" s="3" customFormat="1" ht="15" customHeight="1" x14ac:dyDescent="0.25">
      <c r="A383" s="3" t="s">
        <v>979</v>
      </c>
      <c r="B383" s="3" t="s">
        <v>1179</v>
      </c>
      <c r="C383" s="3" t="s">
        <v>1180</v>
      </c>
      <c r="D383" s="3" t="s">
        <v>1181</v>
      </c>
      <c r="E383" s="3" t="s">
        <v>5</v>
      </c>
      <c r="F383" s="3" t="s">
        <v>6</v>
      </c>
      <c r="G383" s="6">
        <v>9016860.9499999993</v>
      </c>
      <c r="H383" s="6">
        <v>29120.04</v>
      </c>
      <c r="I383" s="6">
        <v>18911.419999999998</v>
      </c>
      <c r="J383" s="6">
        <f t="shared" si="5"/>
        <v>10208.620000000003</v>
      </c>
      <c r="K383" s="3">
        <v>0.32</v>
      </c>
    </row>
    <row r="384" spans="1:11" s="3" customFormat="1" ht="15" customHeight="1" x14ac:dyDescent="0.25">
      <c r="A384" s="3" t="s">
        <v>979</v>
      </c>
      <c r="B384" s="3" t="s">
        <v>1182</v>
      </c>
      <c r="C384" s="3" t="s">
        <v>1183</v>
      </c>
      <c r="D384" s="3" t="s">
        <v>1184</v>
      </c>
      <c r="E384" s="3" t="s">
        <v>5</v>
      </c>
      <c r="F384" s="3" t="s">
        <v>6</v>
      </c>
      <c r="G384" s="6">
        <v>8585568.1999999993</v>
      </c>
      <c r="H384" s="6">
        <v>28088.57</v>
      </c>
      <c r="I384" s="6">
        <v>9944.56</v>
      </c>
      <c r="J384" s="6">
        <f t="shared" si="5"/>
        <v>18144.010000000002</v>
      </c>
      <c r="K384" s="3">
        <v>0.32</v>
      </c>
    </row>
    <row r="385" spans="1:11" s="3" customFormat="1" ht="15" customHeight="1" x14ac:dyDescent="0.25">
      <c r="A385" s="3" t="s">
        <v>979</v>
      </c>
      <c r="B385" s="3" t="s">
        <v>1185</v>
      </c>
      <c r="C385" s="3" t="s">
        <v>1186</v>
      </c>
      <c r="D385" s="3" t="s">
        <v>1187</v>
      </c>
      <c r="E385" s="3" t="s">
        <v>5</v>
      </c>
      <c r="F385" s="3" t="s">
        <v>6</v>
      </c>
      <c r="G385" s="6">
        <v>8189670.0300000003</v>
      </c>
      <c r="H385" s="6">
        <v>19075.919999999998</v>
      </c>
      <c r="I385" s="6">
        <v>12497.93</v>
      </c>
      <c r="J385" s="6">
        <f t="shared" si="5"/>
        <v>6577.989999999998</v>
      </c>
      <c r="K385" s="3">
        <v>0.23</v>
      </c>
    </row>
    <row r="386" spans="1:11" s="3" customFormat="1" ht="15" customHeight="1" x14ac:dyDescent="0.25">
      <c r="A386" s="3" t="s">
        <v>979</v>
      </c>
      <c r="B386" s="3" t="s">
        <v>624</v>
      </c>
      <c r="C386" s="3" t="s">
        <v>1188</v>
      </c>
      <c r="D386" s="3" t="s">
        <v>1189</v>
      </c>
      <c r="E386" s="3" t="s">
        <v>5</v>
      </c>
      <c r="F386" s="3" t="s">
        <v>6</v>
      </c>
      <c r="G386" s="6">
        <v>7101161.7999999998</v>
      </c>
      <c r="H386" s="6">
        <v>10185.719999999999</v>
      </c>
      <c r="I386" s="6">
        <v>2198.65</v>
      </c>
      <c r="J386" s="6">
        <f t="shared" si="5"/>
        <v>7987.07</v>
      </c>
      <c r="K386" s="3">
        <v>0.14000000000000001</v>
      </c>
    </row>
    <row r="387" spans="1:11" s="3" customFormat="1" ht="15" customHeight="1" x14ac:dyDescent="0.25">
      <c r="A387" s="3" t="s">
        <v>979</v>
      </c>
      <c r="B387" s="3" t="s">
        <v>954</v>
      </c>
      <c r="C387" s="3" t="s">
        <v>1190</v>
      </c>
      <c r="D387" s="3" t="s">
        <v>1191</v>
      </c>
      <c r="E387" s="3" t="s">
        <v>5</v>
      </c>
      <c r="F387" s="3" t="s">
        <v>6</v>
      </c>
      <c r="G387" s="6">
        <v>6148760.6200000001</v>
      </c>
      <c r="H387" s="6">
        <v>4094.8</v>
      </c>
      <c r="I387" s="6">
        <v>1929.97</v>
      </c>
      <c r="J387" s="6">
        <f t="shared" si="5"/>
        <v>2164.83</v>
      </c>
      <c r="K387" s="3">
        <v>0.06</v>
      </c>
    </row>
    <row r="388" spans="1:11" s="3" customFormat="1" ht="15" customHeight="1" x14ac:dyDescent="0.25">
      <c r="A388" s="3" t="s">
        <v>979</v>
      </c>
      <c r="B388" s="3" t="s">
        <v>133</v>
      </c>
      <c r="C388" s="3" t="s">
        <v>1192</v>
      </c>
      <c r="D388" s="3" t="s">
        <v>1193</v>
      </c>
      <c r="E388" s="3" t="s">
        <v>5</v>
      </c>
      <c r="F388" s="3" t="s">
        <v>6</v>
      </c>
      <c r="G388" s="6">
        <v>6024266.5999999996</v>
      </c>
      <c r="H388" s="6">
        <v>19675.32</v>
      </c>
      <c r="I388" s="6">
        <v>12789.03</v>
      </c>
      <c r="J388" s="6">
        <f t="shared" ref="J388:J451" si="6">H388-I388</f>
        <v>6886.2899999999991</v>
      </c>
      <c r="K388" s="3">
        <v>0.32</v>
      </c>
    </row>
    <row r="389" spans="1:11" s="3" customFormat="1" ht="15" customHeight="1" x14ac:dyDescent="0.25">
      <c r="A389" s="3" t="s">
        <v>979</v>
      </c>
      <c r="B389" s="3" t="s">
        <v>1194</v>
      </c>
      <c r="C389" s="3" t="s">
        <v>1195</v>
      </c>
      <c r="D389" s="3" t="s">
        <v>1196</v>
      </c>
      <c r="E389" s="3" t="s">
        <v>5</v>
      </c>
      <c r="F389" s="3" t="s">
        <v>6</v>
      </c>
      <c r="G389" s="6">
        <v>4274215.45</v>
      </c>
      <c r="H389" s="6">
        <v>17732.509999999998</v>
      </c>
      <c r="I389" s="6">
        <v>13340.08</v>
      </c>
      <c r="J389" s="6">
        <f t="shared" si="6"/>
        <v>4392.4299999999985</v>
      </c>
      <c r="K389" s="3">
        <v>0.41</v>
      </c>
    </row>
    <row r="390" spans="1:11" s="3" customFormat="1" ht="15" customHeight="1" x14ac:dyDescent="0.25">
      <c r="A390" s="3" t="s">
        <v>979</v>
      </c>
      <c r="B390" s="3" t="s">
        <v>510</v>
      </c>
      <c r="C390" s="3" t="s">
        <v>1197</v>
      </c>
      <c r="D390" s="3" t="s">
        <v>1198</v>
      </c>
      <c r="E390" s="3" t="s">
        <v>5</v>
      </c>
      <c r="F390" s="3" t="s">
        <v>6</v>
      </c>
      <c r="G390" s="6">
        <v>3804028.86</v>
      </c>
      <c r="H390" s="6">
        <v>15933.29</v>
      </c>
      <c r="I390" s="6">
        <v>12435.06</v>
      </c>
      <c r="J390" s="6">
        <f t="shared" si="6"/>
        <v>3498.2300000000014</v>
      </c>
      <c r="K390" s="3">
        <v>0.41</v>
      </c>
    </row>
    <row r="391" spans="1:11" s="3" customFormat="1" ht="15" customHeight="1" x14ac:dyDescent="0.25">
      <c r="A391" s="3" t="s">
        <v>979</v>
      </c>
      <c r="B391" s="3" t="s">
        <v>1199</v>
      </c>
      <c r="C391" s="3" t="s">
        <v>1200</v>
      </c>
      <c r="D391" s="3" t="s">
        <v>1201</v>
      </c>
      <c r="E391" s="3" t="s">
        <v>5</v>
      </c>
      <c r="F391" s="3" t="s">
        <v>6</v>
      </c>
      <c r="G391" s="6">
        <v>3373081.75</v>
      </c>
      <c r="H391" s="6">
        <v>8406.4699999999993</v>
      </c>
      <c r="I391" s="6">
        <v>5464.98</v>
      </c>
      <c r="J391" s="6">
        <f t="shared" si="6"/>
        <v>2941.49</v>
      </c>
      <c r="K391" s="3">
        <v>0.24</v>
      </c>
    </row>
    <row r="392" spans="1:11" s="3" customFormat="1" ht="15" customHeight="1" x14ac:dyDescent="0.25">
      <c r="A392" s="3" t="s">
        <v>979</v>
      </c>
      <c r="B392" s="3" t="s">
        <v>1202</v>
      </c>
      <c r="C392" s="3" t="s">
        <v>1203</v>
      </c>
      <c r="D392" s="3" t="s">
        <v>1204</v>
      </c>
      <c r="E392" s="3" t="s">
        <v>5</v>
      </c>
      <c r="F392" s="3" t="s">
        <v>6</v>
      </c>
      <c r="G392" s="6">
        <v>2825433.1</v>
      </c>
      <c r="H392" s="6">
        <v>10095.870000000001</v>
      </c>
      <c r="I392" s="6">
        <v>3534.05</v>
      </c>
      <c r="J392" s="6">
        <f t="shared" si="6"/>
        <v>6561.8200000000006</v>
      </c>
      <c r="K392" s="3">
        <v>0.35</v>
      </c>
    </row>
    <row r="393" spans="1:11" s="3" customFormat="1" ht="15" customHeight="1" x14ac:dyDescent="0.25">
      <c r="A393" s="3" t="s">
        <v>979</v>
      </c>
      <c r="B393" s="3" t="s">
        <v>1205</v>
      </c>
      <c r="C393" s="3" t="s">
        <v>1206</v>
      </c>
      <c r="D393" s="3" t="s">
        <v>1207</v>
      </c>
      <c r="E393" s="3" t="s">
        <v>5</v>
      </c>
      <c r="F393" s="3" t="s">
        <v>6</v>
      </c>
      <c r="G393" s="6">
        <v>2013654.02</v>
      </c>
      <c r="H393" s="6">
        <v>7348.67</v>
      </c>
      <c r="I393" s="6">
        <v>5276.81</v>
      </c>
      <c r="J393" s="6">
        <f t="shared" si="6"/>
        <v>2071.8599999999997</v>
      </c>
      <c r="K393" s="3">
        <v>0.36</v>
      </c>
    </row>
    <row r="394" spans="1:11" s="3" customFormat="1" ht="15" customHeight="1" x14ac:dyDescent="0.25">
      <c r="A394" s="3" t="s">
        <v>979</v>
      </c>
      <c r="B394" s="3" t="s">
        <v>1208</v>
      </c>
      <c r="C394" s="3" t="s">
        <v>1209</v>
      </c>
      <c r="D394" s="3" t="s">
        <v>1210</v>
      </c>
      <c r="E394" s="3" t="s">
        <v>5</v>
      </c>
      <c r="F394" s="3" t="s">
        <v>6</v>
      </c>
      <c r="G394" s="6">
        <v>1914242.98</v>
      </c>
      <c r="H394" s="6">
        <v>2780.34</v>
      </c>
      <c r="I394" s="6">
        <v>1923.04</v>
      </c>
      <c r="J394" s="6">
        <f t="shared" si="6"/>
        <v>857.30000000000018</v>
      </c>
      <c r="K394" s="3">
        <v>0.14000000000000001</v>
      </c>
    </row>
    <row r="395" spans="1:11" s="3" customFormat="1" ht="15" customHeight="1" x14ac:dyDescent="0.25">
      <c r="A395" s="3" t="s">
        <v>979</v>
      </c>
      <c r="B395" s="3" t="s">
        <v>1199</v>
      </c>
      <c r="C395" s="3" t="s">
        <v>1211</v>
      </c>
      <c r="D395" s="3" t="s">
        <v>1212</v>
      </c>
      <c r="E395" s="3" t="s">
        <v>5</v>
      </c>
      <c r="F395" s="3" t="s">
        <v>6</v>
      </c>
      <c r="G395" s="6">
        <v>1913515.91</v>
      </c>
      <c r="H395" s="6">
        <v>5889.57</v>
      </c>
      <c r="I395" s="6">
        <v>3926.32</v>
      </c>
      <c r="J395" s="6">
        <f t="shared" si="6"/>
        <v>1963.2499999999995</v>
      </c>
      <c r="K395" s="3">
        <v>0.3</v>
      </c>
    </row>
    <row r="396" spans="1:11" s="3" customFormat="1" ht="15" customHeight="1" x14ac:dyDescent="0.25">
      <c r="A396" s="3" t="s">
        <v>979</v>
      </c>
      <c r="B396" s="3" t="s">
        <v>1213</v>
      </c>
      <c r="C396" s="3" t="s">
        <v>1214</v>
      </c>
      <c r="D396" s="3" t="s">
        <v>1215</v>
      </c>
      <c r="E396" s="3" t="s">
        <v>5</v>
      </c>
      <c r="F396" s="3" t="s">
        <v>6</v>
      </c>
      <c r="G396" s="6">
        <v>492182.5</v>
      </c>
      <c r="H396" s="6">
        <v>1230.5</v>
      </c>
      <c r="I396" s="6">
        <v>738.3</v>
      </c>
      <c r="J396" s="6">
        <f t="shared" si="6"/>
        <v>492.20000000000005</v>
      </c>
      <c r="K396" s="3">
        <v>0.25</v>
      </c>
    </row>
    <row r="397" spans="1:11" s="3" customFormat="1" ht="15" customHeight="1" x14ac:dyDescent="0.25">
      <c r="A397" s="3" t="s">
        <v>979</v>
      </c>
      <c r="B397" s="3" t="s">
        <v>1216</v>
      </c>
      <c r="C397" s="3" t="s">
        <v>1217</v>
      </c>
      <c r="D397" s="3" t="s">
        <v>1218</v>
      </c>
      <c r="E397" s="3" t="s">
        <v>5</v>
      </c>
      <c r="F397" s="3" t="s">
        <v>6</v>
      </c>
      <c r="G397" s="6">
        <v>366631.2</v>
      </c>
      <c r="H397" s="6">
        <v>2170.1999999999998</v>
      </c>
      <c r="I397" s="6">
        <v>989.65</v>
      </c>
      <c r="J397" s="6">
        <f t="shared" si="6"/>
        <v>1180.5499999999997</v>
      </c>
      <c r="K397" s="3">
        <v>0.59</v>
      </c>
    </row>
    <row r="398" spans="1:11" s="3" customFormat="1" ht="15" customHeight="1" x14ac:dyDescent="0.25">
      <c r="A398" s="3" t="s">
        <v>979</v>
      </c>
      <c r="B398" s="3" t="s">
        <v>1219</v>
      </c>
      <c r="C398" s="3" t="s">
        <v>1220</v>
      </c>
      <c r="D398" s="3" t="s">
        <v>1221</v>
      </c>
      <c r="E398" s="3" t="s">
        <v>1075</v>
      </c>
      <c r="F398" s="3" t="s">
        <v>1076</v>
      </c>
      <c r="G398" s="6">
        <v>27432</v>
      </c>
      <c r="H398" s="6">
        <v>94.44</v>
      </c>
      <c r="I398" s="6">
        <v>62.94</v>
      </c>
      <c r="J398" s="6">
        <f t="shared" si="6"/>
        <v>31.5</v>
      </c>
      <c r="K398" s="3">
        <v>0.34</v>
      </c>
    </row>
    <row r="399" spans="1:11" s="3" customFormat="1" ht="15" customHeight="1" x14ac:dyDescent="0.25">
      <c r="A399" s="3" t="s">
        <v>979</v>
      </c>
      <c r="B399" s="3" t="s">
        <v>1222</v>
      </c>
      <c r="C399" s="3" t="s">
        <v>1223</v>
      </c>
      <c r="D399" s="3" t="s">
        <v>1224</v>
      </c>
      <c r="E399" s="3" t="s">
        <v>5</v>
      </c>
      <c r="F399" s="3" t="s">
        <v>6</v>
      </c>
      <c r="G399" s="6">
        <v>11905.26</v>
      </c>
      <c r="H399" s="6">
        <v>35.74</v>
      </c>
      <c r="I399" s="6">
        <v>23.84</v>
      </c>
      <c r="J399" s="6">
        <f t="shared" si="6"/>
        <v>11.900000000000002</v>
      </c>
      <c r="K399" s="3">
        <v>0.3</v>
      </c>
    </row>
    <row r="400" spans="1:11" s="3" customFormat="1" ht="15" customHeight="1" x14ac:dyDescent="0.25">
      <c r="A400" s="3" t="s">
        <v>1225</v>
      </c>
      <c r="B400" s="3" t="s">
        <v>1226</v>
      </c>
      <c r="C400" s="3" t="s">
        <v>1227</v>
      </c>
      <c r="D400" s="3" t="s">
        <v>1228</v>
      </c>
      <c r="E400" s="3" t="s">
        <v>5</v>
      </c>
      <c r="F400" s="3" t="s">
        <v>6</v>
      </c>
      <c r="G400" s="6">
        <v>1802533608.4100001</v>
      </c>
      <c r="H400" s="6">
        <v>5715203.4100000001</v>
      </c>
      <c r="I400" s="6">
        <v>4275832.45</v>
      </c>
      <c r="J400" s="6">
        <f t="shared" si="6"/>
        <v>1439370.96</v>
      </c>
      <c r="K400" s="3">
        <v>0.31</v>
      </c>
    </row>
    <row r="401" spans="1:11" s="3" customFormat="1" ht="15" customHeight="1" x14ac:dyDescent="0.25">
      <c r="A401" s="3" t="s">
        <v>1225</v>
      </c>
      <c r="B401" s="3" t="s">
        <v>1229</v>
      </c>
      <c r="C401" s="3" t="s">
        <v>1230</v>
      </c>
      <c r="D401" s="3" t="s">
        <v>1231</v>
      </c>
      <c r="E401" s="3" t="s">
        <v>76</v>
      </c>
      <c r="F401" s="3" t="s">
        <v>6</v>
      </c>
      <c r="G401" s="6">
        <v>21927740.059999999</v>
      </c>
      <c r="H401" s="6">
        <v>22926.49</v>
      </c>
      <c r="I401" s="6">
        <v>8815.26</v>
      </c>
      <c r="J401" s="6">
        <f t="shared" si="6"/>
        <v>14111.230000000001</v>
      </c>
      <c r="K401" s="3">
        <v>0.1</v>
      </c>
    </row>
    <row r="402" spans="1:11" s="3" customFormat="1" ht="15" customHeight="1" x14ac:dyDescent="0.25">
      <c r="A402" s="3" t="s">
        <v>1225</v>
      </c>
      <c r="B402" s="3" t="s">
        <v>1057</v>
      </c>
      <c r="C402" s="3" t="s">
        <v>1232</v>
      </c>
      <c r="D402" s="3" t="s">
        <v>1233</v>
      </c>
      <c r="E402" s="3" t="s">
        <v>76</v>
      </c>
      <c r="F402" s="3" t="s">
        <v>6</v>
      </c>
      <c r="G402" s="6">
        <v>17949889.449999999</v>
      </c>
      <c r="H402" s="6">
        <v>89968.88</v>
      </c>
      <c r="I402" s="6">
        <v>70254.100000000006</v>
      </c>
      <c r="J402" s="6">
        <f t="shared" si="6"/>
        <v>19714.78</v>
      </c>
      <c r="K402" s="3">
        <v>0.5</v>
      </c>
    </row>
    <row r="403" spans="1:11" s="3" customFormat="1" ht="15" customHeight="1" x14ac:dyDescent="0.25">
      <c r="A403" s="3" t="s">
        <v>1225</v>
      </c>
      <c r="B403" s="3" t="s">
        <v>1234</v>
      </c>
      <c r="C403" s="3" t="s">
        <v>1235</v>
      </c>
      <c r="D403" s="3" t="s">
        <v>1236</v>
      </c>
      <c r="E403" s="3" t="s">
        <v>54</v>
      </c>
      <c r="F403" s="3" t="s">
        <v>6</v>
      </c>
      <c r="G403" s="6">
        <v>1912522.78</v>
      </c>
      <c r="H403" s="6">
        <v>9828.59</v>
      </c>
      <c r="I403" s="6">
        <v>7210.18</v>
      </c>
      <c r="J403" s="6">
        <f t="shared" si="6"/>
        <v>2618.41</v>
      </c>
      <c r="K403" s="3">
        <v>0.51</v>
      </c>
    </row>
    <row r="404" spans="1:11" s="3" customFormat="1" ht="15" customHeight="1" x14ac:dyDescent="0.25">
      <c r="A404" s="3" t="s">
        <v>1237</v>
      </c>
      <c r="B404" s="3" t="s">
        <v>1238</v>
      </c>
      <c r="C404" s="3" t="s">
        <v>1237</v>
      </c>
      <c r="D404" s="3" t="s">
        <v>1239</v>
      </c>
      <c r="E404" s="3" t="s">
        <v>5</v>
      </c>
      <c r="F404" s="3" t="s">
        <v>6</v>
      </c>
      <c r="G404" s="6">
        <v>906351771850.95996</v>
      </c>
      <c r="H404" s="6">
        <v>17341782.460000001</v>
      </c>
      <c r="I404" s="6">
        <v>0</v>
      </c>
      <c r="J404" s="6">
        <f t="shared" si="6"/>
        <v>17341782.460000001</v>
      </c>
      <c r="K404" s="3">
        <v>0</v>
      </c>
    </row>
    <row r="405" spans="1:11" s="3" customFormat="1" ht="15" customHeight="1" x14ac:dyDescent="0.25">
      <c r="A405" s="3" t="s">
        <v>1240</v>
      </c>
      <c r="B405" s="3" t="s">
        <v>996</v>
      </c>
      <c r="C405" s="3" t="s">
        <v>1241</v>
      </c>
      <c r="D405" s="3" t="s">
        <v>1242</v>
      </c>
      <c r="E405" s="3" t="s">
        <v>5</v>
      </c>
      <c r="F405" s="3" t="s">
        <v>6</v>
      </c>
      <c r="G405" s="6">
        <v>5558635110.4499998</v>
      </c>
      <c r="H405" s="6">
        <v>3429340.74</v>
      </c>
      <c r="I405" s="6">
        <v>2060166</v>
      </c>
      <c r="J405" s="6">
        <f t="shared" si="6"/>
        <v>1369174.7400000002</v>
      </c>
      <c r="K405" s="3">
        <v>0.06</v>
      </c>
    </row>
    <row r="406" spans="1:11" s="3" customFormat="1" ht="15" customHeight="1" x14ac:dyDescent="0.25">
      <c r="A406" s="3" t="s">
        <v>1240</v>
      </c>
      <c r="B406" s="3" t="s">
        <v>1243</v>
      </c>
      <c r="C406" s="3" t="s">
        <v>1244</v>
      </c>
      <c r="D406" s="3" t="s">
        <v>1245</v>
      </c>
      <c r="E406" s="3" t="s">
        <v>5</v>
      </c>
      <c r="F406" s="3" t="s">
        <v>6</v>
      </c>
      <c r="G406" s="6">
        <v>3907298239.25</v>
      </c>
      <c r="H406" s="6">
        <v>5008681.62</v>
      </c>
      <c r="I406" s="6">
        <v>4060168.81</v>
      </c>
      <c r="J406" s="6">
        <f t="shared" si="6"/>
        <v>948512.81</v>
      </c>
      <c r="K406" s="3">
        <v>0.12</v>
      </c>
    </row>
    <row r="407" spans="1:11" s="3" customFormat="1" ht="15" customHeight="1" x14ac:dyDescent="0.25">
      <c r="A407" s="3" t="s">
        <v>1240</v>
      </c>
      <c r="B407" s="3" t="s">
        <v>1246</v>
      </c>
      <c r="C407" s="3" t="s">
        <v>1247</v>
      </c>
      <c r="D407" s="3" t="s">
        <v>1248</v>
      </c>
      <c r="E407" s="3" t="s">
        <v>5</v>
      </c>
      <c r="F407" s="3" t="s">
        <v>6</v>
      </c>
      <c r="G407" s="6">
        <v>1205503073.28</v>
      </c>
      <c r="H407" s="6">
        <v>1137717.47</v>
      </c>
      <c r="I407" s="6">
        <v>640899.29</v>
      </c>
      <c r="J407" s="6">
        <f t="shared" si="6"/>
        <v>496818.17999999993</v>
      </c>
      <c r="K407" s="3">
        <v>0.09</v>
      </c>
    </row>
    <row r="408" spans="1:11" s="3" customFormat="1" ht="15" customHeight="1" x14ac:dyDescent="0.25">
      <c r="A408" s="3" t="s">
        <v>1240</v>
      </c>
      <c r="B408" s="3" t="s">
        <v>1249</v>
      </c>
      <c r="C408" s="3" t="s">
        <v>1250</v>
      </c>
      <c r="D408" s="3" t="s">
        <v>1251</v>
      </c>
      <c r="E408" s="3" t="s">
        <v>5</v>
      </c>
      <c r="F408" s="3" t="s">
        <v>6</v>
      </c>
      <c r="G408" s="6">
        <v>242335284.05000001</v>
      </c>
      <c r="H408" s="6">
        <v>348731.13</v>
      </c>
      <c r="I408" s="6">
        <v>234333.71</v>
      </c>
      <c r="J408" s="6">
        <f t="shared" si="6"/>
        <v>114397.42000000001</v>
      </c>
      <c r="K408" s="3">
        <v>0.14000000000000001</v>
      </c>
    </row>
    <row r="409" spans="1:11" s="3" customFormat="1" ht="15" customHeight="1" x14ac:dyDescent="0.25">
      <c r="A409" s="3" t="s">
        <v>1240</v>
      </c>
      <c r="B409" s="3" t="s">
        <v>1252</v>
      </c>
      <c r="C409" s="3" t="s">
        <v>1253</v>
      </c>
      <c r="D409" s="3" t="s">
        <v>1254</v>
      </c>
      <c r="E409" s="3" t="s">
        <v>5</v>
      </c>
      <c r="F409" s="3" t="s">
        <v>6</v>
      </c>
      <c r="G409" s="6">
        <v>189781535.38999999</v>
      </c>
      <c r="H409" s="6">
        <v>1018511.79</v>
      </c>
      <c r="I409" s="6">
        <v>823914.19</v>
      </c>
      <c r="J409" s="6">
        <f t="shared" si="6"/>
        <v>194597.60000000009</v>
      </c>
      <c r="K409" s="3">
        <v>0.53</v>
      </c>
    </row>
    <row r="410" spans="1:11" s="3" customFormat="1" ht="15" customHeight="1" x14ac:dyDescent="0.25">
      <c r="A410" s="3" t="s">
        <v>1240</v>
      </c>
      <c r="B410" s="3" t="s">
        <v>1255</v>
      </c>
      <c r="C410" s="3" t="s">
        <v>1256</v>
      </c>
      <c r="D410" s="3" t="s">
        <v>1257</v>
      </c>
      <c r="E410" s="3" t="s">
        <v>5</v>
      </c>
      <c r="F410" s="3" t="s">
        <v>6</v>
      </c>
      <c r="G410" s="6">
        <v>159775932.46000001</v>
      </c>
      <c r="H410" s="6">
        <v>343523.71</v>
      </c>
      <c r="I410" s="6">
        <v>175292.43</v>
      </c>
      <c r="J410" s="6">
        <f t="shared" si="6"/>
        <v>168231.28000000003</v>
      </c>
      <c r="K410" s="3">
        <v>0.21</v>
      </c>
    </row>
    <row r="411" spans="1:11" s="3" customFormat="1" ht="15" customHeight="1" x14ac:dyDescent="0.25">
      <c r="A411" s="3" t="s">
        <v>1240</v>
      </c>
      <c r="B411" s="3" t="s">
        <v>1258</v>
      </c>
      <c r="C411" s="3" t="s">
        <v>1259</v>
      </c>
      <c r="D411" s="3" t="s">
        <v>1260</v>
      </c>
      <c r="E411" s="3" t="s">
        <v>5</v>
      </c>
      <c r="F411" s="3" t="s">
        <v>6</v>
      </c>
      <c r="G411" s="6">
        <v>91457579.209999993</v>
      </c>
      <c r="H411" s="6">
        <v>253443.81</v>
      </c>
      <c r="I411" s="6">
        <v>167724.29999999999</v>
      </c>
      <c r="J411" s="6">
        <f t="shared" si="6"/>
        <v>85719.510000000009</v>
      </c>
      <c r="K411" s="3">
        <v>0.27</v>
      </c>
    </row>
    <row r="412" spans="1:11" s="3" customFormat="1" ht="15" customHeight="1" x14ac:dyDescent="0.25">
      <c r="A412" s="3" t="s">
        <v>1240</v>
      </c>
      <c r="B412" s="3" t="s">
        <v>1261</v>
      </c>
      <c r="C412" s="3" t="s">
        <v>1262</v>
      </c>
      <c r="D412" s="3" t="s">
        <v>1263</v>
      </c>
      <c r="E412" s="3" t="s">
        <v>5</v>
      </c>
      <c r="F412" s="3" t="s">
        <v>6</v>
      </c>
      <c r="G412" s="6">
        <v>28055330.739999998</v>
      </c>
      <c r="H412" s="6">
        <v>64071.28</v>
      </c>
      <c r="I412" s="6">
        <v>40190.03</v>
      </c>
      <c r="J412" s="6">
        <f t="shared" si="6"/>
        <v>23881.25</v>
      </c>
      <c r="K412" s="3">
        <v>0.22</v>
      </c>
    </row>
    <row r="413" spans="1:11" s="3" customFormat="1" ht="15" customHeight="1" x14ac:dyDescent="0.25">
      <c r="A413" s="3" t="s">
        <v>1240</v>
      </c>
      <c r="B413" s="3" t="s">
        <v>1264</v>
      </c>
      <c r="C413" s="3" t="s">
        <v>1265</v>
      </c>
      <c r="D413" s="3" t="s">
        <v>1266</v>
      </c>
      <c r="E413" s="3" t="s">
        <v>5</v>
      </c>
      <c r="F413" s="3" t="s">
        <v>6</v>
      </c>
      <c r="G413" s="6">
        <v>7657814.8700000001</v>
      </c>
      <c r="H413" s="6">
        <v>43552.11</v>
      </c>
      <c r="I413" s="6">
        <v>19881.47</v>
      </c>
      <c r="J413" s="6">
        <f t="shared" si="6"/>
        <v>23670.639999999999</v>
      </c>
      <c r="K413" s="3">
        <v>0.56000000000000005</v>
      </c>
    </row>
    <row r="414" spans="1:11" s="3" customFormat="1" ht="15" customHeight="1" x14ac:dyDescent="0.25">
      <c r="A414" s="3" t="s">
        <v>1267</v>
      </c>
      <c r="B414" s="3" t="s">
        <v>1268</v>
      </c>
      <c r="C414" s="3" t="s">
        <v>1267</v>
      </c>
      <c r="D414" s="3" t="s">
        <v>1269</v>
      </c>
      <c r="E414" s="3" t="s">
        <v>5</v>
      </c>
      <c r="F414" s="3" t="s">
        <v>6</v>
      </c>
      <c r="G414" s="6">
        <v>470251908.06999999</v>
      </c>
      <c r="H414" s="6">
        <v>710069.57</v>
      </c>
      <c r="I414" s="6">
        <v>0</v>
      </c>
      <c r="J414" s="6">
        <f t="shared" si="6"/>
        <v>710069.57</v>
      </c>
      <c r="K414" s="3">
        <v>0.15</v>
      </c>
    </row>
    <row r="415" spans="1:11" s="3" customFormat="1" ht="15" customHeight="1" x14ac:dyDescent="0.25">
      <c r="A415" s="3" t="s">
        <v>1270</v>
      </c>
      <c r="B415" s="3" t="s">
        <v>1271</v>
      </c>
      <c r="C415" s="3" t="s">
        <v>1270</v>
      </c>
      <c r="D415" s="3" t="s">
        <v>1272</v>
      </c>
      <c r="E415" s="3" t="s">
        <v>5</v>
      </c>
      <c r="F415" s="3" t="s">
        <v>6</v>
      </c>
      <c r="G415" s="6">
        <v>2427448972.3899999</v>
      </c>
      <c r="H415" s="6">
        <v>2325328.38</v>
      </c>
      <c r="I415" s="6">
        <v>0</v>
      </c>
      <c r="J415" s="6">
        <f t="shared" si="6"/>
        <v>2325328.38</v>
      </c>
      <c r="K415" s="3">
        <v>0.09</v>
      </c>
    </row>
    <row r="416" spans="1:11" s="3" customFormat="1" ht="15" customHeight="1" x14ac:dyDescent="0.25">
      <c r="A416" s="3" t="s">
        <v>1273</v>
      </c>
      <c r="B416" s="3" t="s">
        <v>1274</v>
      </c>
      <c r="C416" s="3" t="s">
        <v>1273</v>
      </c>
      <c r="D416" s="3" t="s">
        <v>1275</v>
      </c>
      <c r="E416" s="3" t="s">
        <v>5</v>
      </c>
      <c r="F416" s="3" t="s">
        <v>6</v>
      </c>
      <c r="G416" s="6">
        <v>749760681.45000005</v>
      </c>
      <c r="H416" s="6">
        <v>1325043.83</v>
      </c>
      <c r="I416" s="6">
        <v>0</v>
      </c>
      <c r="J416" s="6">
        <f t="shared" si="6"/>
        <v>1325043.83</v>
      </c>
      <c r="K416" s="3">
        <v>0.17</v>
      </c>
    </row>
    <row r="417" spans="1:11" s="3" customFormat="1" ht="15" customHeight="1" x14ac:dyDescent="0.25">
      <c r="A417" s="3" t="s">
        <v>1276</v>
      </c>
      <c r="B417" s="3" t="s">
        <v>1277</v>
      </c>
      <c r="C417" s="3" t="s">
        <v>1276</v>
      </c>
      <c r="D417" s="3" t="s">
        <v>1278</v>
      </c>
      <c r="E417" s="3" t="s">
        <v>1279</v>
      </c>
      <c r="F417" s="3" t="s">
        <v>6</v>
      </c>
      <c r="G417" s="6">
        <v>742107732.53999996</v>
      </c>
      <c r="H417" s="6">
        <v>874187.27</v>
      </c>
      <c r="I417" s="6">
        <v>2767.18</v>
      </c>
      <c r="J417" s="6">
        <f t="shared" si="6"/>
        <v>871420.09</v>
      </c>
      <c r="K417" s="3">
        <v>0.11</v>
      </c>
    </row>
    <row r="418" spans="1:11" s="3" customFormat="1" ht="15" customHeight="1" x14ac:dyDescent="0.25">
      <c r="A418" s="3" t="s">
        <v>1280</v>
      </c>
      <c r="B418" s="3" t="s">
        <v>1281</v>
      </c>
      <c r="C418" s="3" t="s">
        <v>1280</v>
      </c>
      <c r="D418" s="3" t="s">
        <v>1282</v>
      </c>
      <c r="E418" s="3" t="s">
        <v>5</v>
      </c>
      <c r="F418" s="3" t="s">
        <v>6</v>
      </c>
      <c r="G418" s="6">
        <v>2282672281.6700001</v>
      </c>
      <c r="H418" s="6">
        <v>2591678.2999999998</v>
      </c>
      <c r="I418" s="6">
        <v>0</v>
      </c>
      <c r="J418" s="6">
        <f t="shared" si="6"/>
        <v>2591678.2999999998</v>
      </c>
      <c r="K418" s="3">
        <v>0.11</v>
      </c>
    </row>
    <row r="419" spans="1:11" s="3" customFormat="1" ht="15" customHeight="1" x14ac:dyDescent="0.25">
      <c r="A419" s="3" t="s">
        <v>1280</v>
      </c>
      <c r="B419" s="3" t="s">
        <v>1283</v>
      </c>
      <c r="C419" s="3" t="s">
        <v>1284</v>
      </c>
      <c r="D419" s="3" t="s">
        <v>1285</v>
      </c>
      <c r="E419" s="3" t="s">
        <v>5</v>
      </c>
      <c r="F419" s="3" t="s">
        <v>6</v>
      </c>
      <c r="G419" s="6">
        <v>435806640.44</v>
      </c>
      <c r="H419" s="6">
        <v>1336128.54</v>
      </c>
      <c r="I419" s="6">
        <v>749587.04</v>
      </c>
      <c r="J419" s="6">
        <f t="shared" si="6"/>
        <v>586541.5</v>
      </c>
      <c r="K419" s="3">
        <v>0.3</v>
      </c>
    </row>
    <row r="420" spans="1:11" s="3" customFormat="1" ht="15" customHeight="1" x14ac:dyDescent="0.25">
      <c r="A420" s="3" t="s">
        <v>1286</v>
      </c>
      <c r="B420" s="3" t="s">
        <v>1287</v>
      </c>
      <c r="C420" s="3" t="s">
        <v>1286</v>
      </c>
      <c r="D420" s="3" t="s">
        <v>1288</v>
      </c>
      <c r="E420" s="3" t="s">
        <v>5</v>
      </c>
      <c r="F420" s="3" t="s">
        <v>6</v>
      </c>
      <c r="G420" s="6">
        <v>2112406183.1099999</v>
      </c>
      <c r="H420" s="6">
        <v>2349838.11</v>
      </c>
      <c r="I420" s="6">
        <v>0</v>
      </c>
      <c r="J420" s="6">
        <f t="shared" si="6"/>
        <v>2349838.11</v>
      </c>
      <c r="K420" s="3">
        <v>0.11</v>
      </c>
    </row>
    <row r="421" spans="1:11" s="3" customFormat="1" ht="15" customHeight="1" x14ac:dyDescent="0.25">
      <c r="A421" s="3" t="s">
        <v>1289</v>
      </c>
      <c r="B421" s="3" t="s">
        <v>866</v>
      </c>
      <c r="C421" s="3" t="s">
        <v>1289</v>
      </c>
      <c r="D421" s="3" t="s">
        <v>1290</v>
      </c>
      <c r="E421" s="3" t="s">
        <v>5</v>
      </c>
      <c r="F421" s="3" t="s">
        <v>6</v>
      </c>
      <c r="G421" s="6">
        <v>1585423388.53</v>
      </c>
      <c r="H421" s="6">
        <v>2141980.21</v>
      </c>
      <c r="I421" s="6">
        <v>0</v>
      </c>
      <c r="J421" s="6">
        <f t="shared" si="6"/>
        <v>2141980.21</v>
      </c>
      <c r="K421" s="3">
        <v>0.13</v>
      </c>
    </row>
    <row r="422" spans="1:11" s="3" customFormat="1" ht="15" customHeight="1" x14ac:dyDescent="0.25">
      <c r="A422" s="3" t="s">
        <v>1289</v>
      </c>
      <c r="B422" s="3" t="s">
        <v>1291</v>
      </c>
      <c r="C422" s="3" t="s">
        <v>1292</v>
      </c>
      <c r="D422" s="3" t="s">
        <v>1293</v>
      </c>
      <c r="E422" s="3" t="s">
        <v>5</v>
      </c>
      <c r="F422" s="3" t="s">
        <v>6</v>
      </c>
      <c r="G422" s="6">
        <v>42160844.649999999</v>
      </c>
      <c r="H422" s="6">
        <v>92105.36</v>
      </c>
      <c r="I422" s="6">
        <v>56177.86</v>
      </c>
      <c r="J422" s="6">
        <f t="shared" si="6"/>
        <v>35927.5</v>
      </c>
      <c r="K422" s="3">
        <v>0.21</v>
      </c>
    </row>
    <row r="423" spans="1:11" s="3" customFormat="1" ht="15" customHeight="1" x14ac:dyDescent="0.25">
      <c r="A423" s="3" t="s">
        <v>1294</v>
      </c>
      <c r="B423" s="3" t="s">
        <v>1295</v>
      </c>
      <c r="C423" s="3" t="s">
        <v>1294</v>
      </c>
      <c r="D423" s="3" t="s">
        <v>1296</v>
      </c>
      <c r="E423" s="3" t="s">
        <v>5</v>
      </c>
      <c r="F423" s="3" t="s">
        <v>6</v>
      </c>
      <c r="G423" s="6">
        <v>991791188.39999998</v>
      </c>
      <c r="H423" s="6">
        <v>1560873.89</v>
      </c>
      <c r="I423" s="6">
        <v>1258.93</v>
      </c>
      <c r="J423" s="6">
        <f t="shared" si="6"/>
        <v>1559614.96</v>
      </c>
      <c r="K423" s="3">
        <v>0.15</v>
      </c>
    </row>
    <row r="424" spans="1:11" s="3" customFormat="1" ht="15" customHeight="1" x14ac:dyDescent="0.25">
      <c r="A424" s="3" t="s">
        <v>1297</v>
      </c>
      <c r="B424" s="3" t="s">
        <v>1298</v>
      </c>
      <c r="C424" s="3" t="s">
        <v>1297</v>
      </c>
      <c r="D424" s="3" t="s">
        <v>1299</v>
      </c>
      <c r="E424" s="3" t="s">
        <v>5</v>
      </c>
      <c r="F424" s="3" t="s">
        <v>6</v>
      </c>
      <c r="G424" s="6">
        <v>349037450.98000002</v>
      </c>
      <c r="H424" s="6">
        <v>491256.34</v>
      </c>
      <c r="I424" s="6">
        <v>0</v>
      </c>
      <c r="J424" s="6">
        <f t="shared" si="6"/>
        <v>491256.34</v>
      </c>
      <c r="K424" s="3">
        <v>0.14000000000000001</v>
      </c>
    </row>
    <row r="425" spans="1:11" s="3" customFormat="1" ht="15" customHeight="1" x14ac:dyDescent="0.25">
      <c r="A425" s="3" t="s">
        <v>1300</v>
      </c>
      <c r="B425" s="3" t="s">
        <v>1301</v>
      </c>
      <c r="C425" s="3" t="s">
        <v>1300</v>
      </c>
      <c r="D425" s="3" t="s">
        <v>1302</v>
      </c>
      <c r="E425" s="3" t="s">
        <v>5</v>
      </c>
      <c r="F425" s="3" t="s">
        <v>6</v>
      </c>
      <c r="G425" s="6">
        <v>749421816.92999995</v>
      </c>
      <c r="H425" s="6">
        <v>1184049.95</v>
      </c>
      <c r="I425" s="6">
        <v>0</v>
      </c>
      <c r="J425" s="6">
        <f t="shared" si="6"/>
        <v>1184049.95</v>
      </c>
      <c r="K425" s="3">
        <v>0.15</v>
      </c>
    </row>
    <row r="426" spans="1:11" s="3" customFormat="1" ht="15" customHeight="1" x14ac:dyDescent="0.25">
      <c r="A426" s="3" t="s">
        <v>1303</v>
      </c>
      <c r="B426" s="3" t="s">
        <v>1304</v>
      </c>
      <c r="C426" s="3" t="s">
        <v>1303</v>
      </c>
      <c r="D426" s="3" t="s">
        <v>1305</v>
      </c>
      <c r="E426" s="3" t="s">
        <v>5</v>
      </c>
      <c r="F426" s="3" t="s">
        <v>6</v>
      </c>
      <c r="G426" s="6">
        <v>875070868.20000005</v>
      </c>
      <c r="H426" s="6">
        <v>739255.2</v>
      </c>
      <c r="I426" s="6">
        <v>0</v>
      </c>
      <c r="J426" s="6">
        <f t="shared" si="6"/>
        <v>739255.2</v>
      </c>
      <c r="K426" s="3">
        <v>0.08</v>
      </c>
    </row>
    <row r="427" spans="1:11" s="3" customFormat="1" ht="15" customHeight="1" x14ac:dyDescent="0.25">
      <c r="A427" s="3" t="s">
        <v>1306</v>
      </c>
      <c r="B427" s="3" t="s">
        <v>1307</v>
      </c>
      <c r="C427" s="3" t="s">
        <v>1306</v>
      </c>
      <c r="D427" s="3" t="s">
        <v>1308</v>
      </c>
      <c r="E427" s="3" t="s">
        <v>5</v>
      </c>
      <c r="F427" s="3" t="s">
        <v>6</v>
      </c>
      <c r="G427" s="6">
        <v>630000280.71000004</v>
      </c>
      <c r="H427" s="6">
        <v>1143409.56</v>
      </c>
      <c r="I427" s="6">
        <v>0</v>
      </c>
      <c r="J427" s="6">
        <f t="shared" si="6"/>
        <v>1143409.56</v>
      </c>
      <c r="K427" s="3">
        <v>0.18</v>
      </c>
    </row>
    <row r="428" spans="1:11" s="3" customFormat="1" ht="15" customHeight="1" x14ac:dyDescent="0.25">
      <c r="A428" s="3" t="s">
        <v>1309</v>
      </c>
      <c r="B428" s="3" t="s">
        <v>1310</v>
      </c>
      <c r="C428" s="3" t="s">
        <v>1309</v>
      </c>
      <c r="D428" s="3" t="s">
        <v>1311</v>
      </c>
      <c r="E428" s="3" t="s">
        <v>1312</v>
      </c>
      <c r="F428" s="3" t="s">
        <v>6</v>
      </c>
      <c r="G428" s="6">
        <v>1087357104.2</v>
      </c>
      <c r="H428" s="6">
        <v>994481.95</v>
      </c>
      <c r="I428" s="6">
        <v>21094.26</v>
      </c>
      <c r="J428" s="6">
        <f t="shared" si="6"/>
        <v>973387.69</v>
      </c>
      <c r="K428" s="3">
        <v>0.09</v>
      </c>
    </row>
    <row r="429" spans="1:11" s="3" customFormat="1" ht="15" customHeight="1" x14ac:dyDescent="0.25">
      <c r="A429" s="3" t="s">
        <v>1309</v>
      </c>
      <c r="B429" s="3" t="s">
        <v>1313</v>
      </c>
      <c r="C429" s="3" t="s">
        <v>1314</v>
      </c>
      <c r="D429" s="3" t="s">
        <v>1315</v>
      </c>
      <c r="E429" s="3" t="s">
        <v>407</v>
      </c>
      <c r="F429" s="3" t="s">
        <v>6</v>
      </c>
      <c r="G429" s="6">
        <v>697161255.69000006</v>
      </c>
      <c r="H429" s="6">
        <v>579981.93000000005</v>
      </c>
      <c r="I429" s="6">
        <v>292387.23</v>
      </c>
      <c r="J429" s="6">
        <f t="shared" si="6"/>
        <v>287594.70000000007</v>
      </c>
      <c r="K429" s="3">
        <v>0.08</v>
      </c>
    </row>
    <row r="430" spans="1:11" s="3" customFormat="1" ht="15" customHeight="1" x14ac:dyDescent="0.25">
      <c r="A430" s="3" t="s">
        <v>1309</v>
      </c>
      <c r="B430" s="3" t="s">
        <v>1316</v>
      </c>
      <c r="C430" s="3" t="s">
        <v>1317</v>
      </c>
      <c r="D430" s="3" t="s">
        <v>1318</v>
      </c>
      <c r="E430" s="3" t="s">
        <v>1312</v>
      </c>
      <c r="F430" s="3" t="s">
        <v>6</v>
      </c>
      <c r="G430" s="6">
        <v>47401928.159999996</v>
      </c>
      <c r="H430" s="6">
        <v>53704.57</v>
      </c>
      <c r="I430" s="6">
        <v>30261.84</v>
      </c>
      <c r="J430" s="6">
        <f t="shared" si="6"/>
        <v>23442.73</v>
      </c>
      <c r="K430" s="3">
        <v>0.11</v>
      </c>
    </row>
    <row r="431" spans="1:11" s="3" customFormat="1" ht="15" customHeight="1" x14ac:dyDescent="0.25">
      <c r="A431" s="3" t="s">
        <v>1319</v>
      </c>
      <c r="B431" s="3" t="s">
        <v>1320</v>
      </c>
      <c r="C431" s="3" t="s">
        <v>1321</v>
      </c>
      <c r="D431" s="3" t="s">
        <v>1322</v>
      </c>
      <c r="E431" s="3" t="s">
        <v>5</v>
      </c>
      <c r="F431" s="3" t="s">
        <v>6</v>
      </c>
      <c r="G431" s="6">
        <v>3025463066.3000002</v>
      </c>
      <c r="H431" s="6">
        <v>4634635.1500000004</v>
      </c>
      <c r="I431" s="6">
        <v>3739050.14</v>
      </c>
      <c r="J431" s="6">
        <f t="shared" si="6"/>
        <v>895585.01000000024</v>
      </c>
      <c r="K431" s="3">
        <v>0.15</v>
      </c>
    </row>
    <row r="432" spans="1:11" s="3" customFormat="1" ht="15" customHeight="1" x14ac:dyDescent="0.25">
      <c r="A432" s="3" t="s">
        <v>1319</v>
      </c>
      <c r="B432" s="3" t="s">
        <v>1323</v>
      </c>
      <c r="C432" s="3" t="s">
        <v>1324</v>
      </c>
      <c r="D432" s="3" t="s">
        <v>1325</v>
      </c>
      <c r="E432" s="3" t="s">
        <v>5</v>
      </c>
      <c r="F432" s="3" t="s">
        <v>6</v>
      </c>
      <c r="G432" s="6">
        <v>9634137.9900000002</v>
      </c>
      <c r="H432" s="6">
        <v>62615.42</v>
      </c>
      <c r="I432" s="6">
        <v>44488.18</v>
      </c>
      <c r="J432" s="6">
        <f t="shared" si="6"/>
        <v>18127.239999999998</v>
      </c>
      <c r="K432" s="3">
        <v>0.64</v>
      </c>
    </row>
    <row r="433" spans="1:11" s="3" customFormat="1" ht="15" customHeight="1" x14ac:dyDescent="0.25">
      <c r="A433" s="3" t="s">
        <v>1319</v>
      </c>
      <c r="B433" s="3" t="s">
        <v>1326</v>
      </c>
      <c r="C433" s="3" t="s">
        <v>1327</v>
      </c>
      <c r="D433" s="3" t="s">
        <v>1328</v>
      </c>
      <c r="E433" s="3" t="s">
        <v>5</v>
      </c>
      <c r="F433" s="3" t="s">
        <v>6</v>
      </c>
      <c r="G433" s="6">
        <v>111515</v>
      </c>
      <c r="H433" s="6">
        <v>390.29</v>
      </c>
      <c r="I433" s="6">
        <v>278.75</v>
      </c>
      <c r="J433" s="6">
        <f t="shared" si="6"/>
        <v>111.54000000000002</v>
      </c>
      <c r="K433" s="3">
        <v>0.34</v>
      </c>
    </row>
    <row r="434" spans="1:11" s="3" customFormat="1" ht="15" customHeight="1" x14ac:dyDescent="0.25">
      <c r="A434" s="3" t="s">
        <v>1329</v>
      </c>
      <c r="B434" s="3" t="s">
        <v>1330</v>
      </c>
      <c r="C434" s="3" t="s">
        <v>1329</v>
      </c>
      <c r="D434" s="3" t="s">
        <v>1331</v>
      </c>
      <c r="E434" s="3" t="s">
        <v>1332</v>
      </c>
      <c r="F434" s="3" t="s">
        <v>6</v>
      </c>
      <c r="G434" s="6">
        <v>1247560504.8299999</v>
      </c>
      <c r="H434" s="6">
        <v>584020.78</v>
      </c>
      <c r="I434" s="6">
        <v>14.89</v>
      </c>
      <c r="J434" s="6">
        <f t="shared" si="6"/>
        <v>584005.89</v>
      </c>
      <c r="K434" s="3">
        <v>0.04</v>
      </c>
    </row>
    <row r="435" spans="1:11" s="3" customFormat="1" ht="15" customHeight="1" x14ac:dyDescent="0.25">
      <c r="A435" s="3" t="s">
        <v>1333</v>
      </c>
      <c r="B435" s="3" t="s">
        <v>1334</v>
      </c>
      <c r="C435" s="3" t="s">
        <v>1335</v>
      </c>
      <c r="D435" s="3" t="s">
        <v>1336</v>
      </c>
      <c r="E435" s="3" t="s">
        <v>1337</v>
      </c>
      <c r="F435" s="3" t="s">
        <v>6</v>
      </c>
      <c r="G435" s="6">
        <v>210980329.43000001</v>
      </c>
      <c r="H435" s="6">
        <v>662396.4</v>
      </c>
      <c r="I435" s="6">
        <v>494366.78</v>
      </c>
      <c r="J435" s="6">
        <f t="shared" si="6"/>
        <v>168029.62</v>
      </c>
      <c r="K435" s="3">
        <v>0.31</v>
      </c>
    </row>
    <row r="436" spans="1:11" s="3" customFormat="1" ht="15" customHeight="1" x14ac:dyDescent="0.25">
      <c r="A436" s="3" t="s">
        <v>1338</v>
      </c>
      <c r="B436" s="3" t="s">
        <v>1339</v>
      </c>
      <c r="C436" s="3" t="s">
        <v>1338</v>
      </c>
      <c r="D436" s="3" t="s">
        <v>1340</v>
      </c>
      <c r="E436" s="3" t="s">
        <v>1341</v>
      </c>
      <c r="F436" s="3" t="s">
        <v>6</v>
      </c>
      <c r="G436" s="6">
        <v>286598562.14999998</v>
      </c>
      <c r="H436" s="6">
        <v>478403.95</v>
      </c>
      <c r="I436" s="6">
        <v>1480.21</v>
      </c>
      <c r="J436" s="6">
        <f t="shared" si="6"/>
        <v>476923.74</v>
      </c>
      <c r="K436" s="3">
        <v>0.16</v>
      </c>
    </row>
    <row r="437" spans="1:11" s="3" customFormat="1" ht="15" customHeight="1" x14ac:dyDescent="0.25">
      <c r="A437" s="3" t="s">
        <v>1342</v>
      </c>
      <c r="B437" s="3" t="s">
        <v>17</v>
      </c>
      <c r="C437" s="3" t="s">
        <v>1342</v>
      </c>
      <c r="D437" s="3" t="s">
        <v>1343</v>
      </c>
      <c r="E437" s="3" t="s">
        <v>1344</v>
      </c>
      <c r="F437" s="3" t="s">
        <v>6</v>
      </c>
      <c r="G437" s="6">
        <v>1580820896.3199999</v>
      </c>
      <c r="H437" s="6">
        <v>1676453.15</v>
      </c>
      <c r="I437" s="6">
        <v>0</v>
      </c>
      <c r="J437" s="6">
        <f t="shared" si="6"/>
        <v>1676453.15</v>
      </c>
      <c r="K437" s="3">
        <v>0.1</v>
      </c>
    </row>
    <row r="438" spans="1:11" s="3" customFormat="1" ht="15" customHeight="1" x14ac:dyDescent="0.25">
      <c r="A438" s="3" t="s">
        <v>1342</v>
      </c>
      <c r="B438" s="3" t="s">
        <v>1345</v>
      </c>
      <c r="C438" s="3" t="s">
        <v>1346</v>
      </c>
      <c r="D438" s="3" t="s">
        <v>1347</v>
      </c>
      <c r="E438" s="3" t="s">
        <v>1344</v>
      </c>
      <c r="F438" s="3" t="s">
        <v>6</v>
      </c>
      <c r="G438" s="6">
        <v>119533587.23999999</v>
      </c>
      <c r="H438" s="6">
        <v>266179.86</v>
      </c>
      <c r="I438" s="6">
        <v>174269.41</v>
      </c>
      <c r="J438" s="6">
        <f t="shared" si="6"/>
        <v>91910.449999999983</v>
      </c>
      <c r="K438" s="3">
        <v>0.22</v>
      </c>
    </row>
    <row r="439" spans="1:11" s="3" customFormat="1" ht="15" customHeight="1" x14ac:dyDescent="0.25">
      <c r="A439" s="3" t="s">
        <v>1342</v>
      </c>
      <c r="B439" s="3" t="s">
        <v>17</v>
      </c>
      <c r="C439" s="3" t="s">
        <v>1348</v>
      </c>
      <c r="D439" s="3" t="s">
        <v>1349</v>
      </c>
      <c r="E439" s="3" t="s">
        <v>1344</v>
      </c>
      <c r="F439" s="3" t="s">
        <v>6</v>
      </c>
      <c r="G439" s="6">
        <v>39718050.520000003</v>
      </c>
      <c r="H439" s="6">
        <v>165695.57999999999</v>
      </c>
      <c r="I439" s="6">
        <v>128178.23</v>
      </c>
      <c r="J439" s="6">
        <f t="shared" si="6"/>
        <v>37517.349999999991</v>
      </c>
      <c r="K439" s="3">
        <v>0.41</v>
      </c>
    </row>
    <row r="440" spans="1:11" s="3" customFormat="1" ht="15" customHeight="1" x14ac:dyDescent="0.25">
      <c r="A440" s="3" t="s">
        <v>1342</v>
      </c>
      <c r="B440" s="3" t="s">
        <v>1350</v>
      </c>
      <c r="C440" s="3" t="s">
        <v>1351</v>
      </c>
      <c r="D440" s="3" t="s">
        <v>1116</v>
      </c>
      <c r="E440" s="3" t="s">
        <v>1344</v>
      </c>
      <c r="F440" s="3" t="s">
        <v>6</v>
      </c>
      <c r="G440" s="6">
        <v>38762517.579999998</v>
      </c>
      <c r="H440" s="6">
        <v>84173.66</v>
      </c>
      <c r="I440" s="6">
        <v>0</v>
      </c>
      <c r="J440" s="6">
        <f t="shared" si="6"/>
        <v>84173.66</v>
      </c>
      <c r="K440" s="3">
        <v>0.21</v>
      </c>
    </row>
    <row r="441" spans="1:11" s="3" customFormat="1" ht="15" customHeight="1" x14ac:dyDescent="0.25">
      <c r="A441" s="3" t="s">
        <v>1342</v>
      </c>
      <c r="B441" s="3" t="s">
        <v>1352</v>
      </c>
      <c r="C441" s="3" t="s">
        <v>1353</v>
      </c>
      <c r="D441" s="3" t="s">
        <v>1354</v>
      </c>
      <c r="E441" s="3" t="s">
        <v>1344</v>
      </c>
      <c r="F441" s="3" t="s">
        <v>6</v>
      </c>
      <c r="G441" s="6">
        <v>717321.9</v>
      </c>
      <c r="H441" s="6">
        <v>2869.19</v>
      </c>
      <c r="I441" s="6">
        <v>1972.38</v>
      </c>
      <c r="J441" s="6">
        <f t="shared" si="6"/>
        <v>896.81</v>
      </c>
      <c r="K441" s="3">
        <v>0.39</v>
      </c>
    </row>
    <row r="442" spans="1:11" s="3" customFormat="1" ht="15" customHeight="1" x14ac:dyDescent="0.25">
      <c r="A442" s="3" t="s">
        <v>1342</v>
      </c>
      <c r="B442" s="3" t="s">
        <v>1355</v>
      </c>
      <c r="C442" s="3" t="s">
        <v>1356</v>
      </c>
      <c r="D442" s="3" t="s">
        <v>1357</v>
      </c>
      <c r="E442" s="3" t="s">
        <v>1344</v>
      </c>
      <c r="F442" s="3" t="s">
        <v>6</v>
      </c>
      <c r="G442" s="6">
        <v>14389.95</v>
      </c>
      <c r="H442" s="6">
        <v>74.78</v>
      </c>
      <c r="I442" s="6">
        <v>0</v>
      </c>
      <c r="J442" s="6">
        <f t="shared" si="6"/>
        <v>74.78</v>
      </c>
      <c r="K442" s="3">
        <v>0.51</v>
      </c>
    </row>
    <row r="443" spans="1:11" s="3" customFormat="1" ht="15" customHeight="1" x14ac:dyDescent="0.25">
      <c r="A443" s="3" t="s">
        <v>1358</v>
      </c>
      <c r="B443" s="3" t="s">
        <v>1359</v>
      </c>
      <c r="C443" s="3" t="s">
        <v>1358</v>
      </c>
      <c r="D443" s="3" t="s">
        <v>1360</v>
      </c>
      <c r="E443" s="3" t="s">
        <v>1344</v>
      </c>
      <c r="F443" s="3" t="s">
        <v>6</v>
      </c>
      <c r="G443" s="6">
        <v>2038038182.97</v>
      </c>
      <c r="H443" s="6">
        <v>1176070.55</v>
      </c>
      <c r="I443" s="6">
        <v>2670.59</v>
      </c>
      <c r="J443" s="6">
        <f t="shared" si="6"/>
        <v>1173399.96</v>
      </c>
      <c r="K443" s="3">
        <v>0.05</v>
      </c>
    </row>
    <row r="444" spans="1:11" s="3" customFormat="1" ht="15" customHeight="1" x14ac:dyDescent="0.25">
      <c r="A444" s="3" t="s">
        <v>1358</v>
      </c>
      <c r="B444" s="3" t="s">
        <v>1361</v>
      </c>
      <c r="C444" s="3" t="s">
        <v>1362</v>
      </c>
      <c r="D444" s="3" t="s">
        <v>1363</v>
      </c>
      <c r="E444" s="3" t="s">
        <v>1344</v>
      </c>
      <c r="F444" s="3" t="s">
        <v>6</v>
      </c>
      <c r="G444" s="6">
        <v>16075032.939999999</v>
      </c>
      <c r="H444" s="6">
        <v>62017.08</v>
      </c>
      <c r="I444" s="6">
        <v>47668.79</v>
      </c>
      <c r="J444" s="6">
        <f t="shared" si="6"/>
        <v>14348.29</v>
      </c>
      <c r="K444" s="3">
        <v>0.38</v>
      </c>
    </row>
    <row r="445" spans="1:11" s="3" customFormat="1" ht="15" customHeight="1" x14ac:dyDescent="0.25">
      <c r="A445" s="3" t="s">
        <v>1358</v>
      </c>
      <c r="B445" s="3" t="s">
        <v>1364</v>
      </c>
      <c r="C445" s="3" t="s">
        <v>1365</v>
      </c>
      <c r="D445" s="3" t="s">
        <v>1366</v>
      </c>
      <c r="E445" s="3" t="s">
        <v>1344</v>
      </c>
      <c r="F445" s="3" t="s">
        <v>6</v>
      </c>
      <c r="G445" s="6">
        <v>4003624.08</v>
      </c>
      <c r="H445" s="6">
        <v>14590.09</v>
      </c>
      <c r="I445" s="6">
        <v>10434.23</v>
      </c>
      <c r="J445" s="6">
        <f t="shared" si="6"/>
        <v>4155.8600000000006</v>
      </c>
      <c r="K445" s="3">
        <v>0.36</v>
      </c>
    </row>
    <row r="446" spans="1:11" s="3" customFormat="1" ht="15" customHeight="1" x14ac:dyDescent="0.25">
      <c r="A446" s="3" t="s">
        <v>1367</v>
      </c>
      <c r="B446" s="3" t="s">
        <v>17</v>
      </c>
      <c r="C446" s="3" t="s">
        <v>1368</v>
      </c>
      <c r="D446" s="3" t="s">
        <v>1369</v>
      </c>
      <c r="E446" s="3" t="s">
        <v>54</v>
      </c>
      <c r="F446" s="3" t="s">
        <v>6</v>
      </c>
      <c r="G446" s="6">
        <v>21512646096.360001</v>
      </c>
      <c r="H446" s="6">
        <v>13683291.73</v>
      </c>
      <c r="I446" s="6">
        <v>11612889.460000001</v>
      </c>
      <c r="J446" s="6">
        <f t="shared" si="6"/>
        <v>2070402.2699999996</v>
      </c>
      <c r="K446" s="3">
        <v>0.06</v>
      </c>
    </row>
    <row r="447" spans="1:11" s="3" customFormat="1" ht="15" customHeight="1" x14ac:dyDescent="0.25">
      <c r="A447" s="3" t="s">
        <v>1367</v>
      </c>
      <c r="B447" s="3" t="s">
        <v>17</v>
      </c>
      <c r="C447" s="3" t="s">
        <v>1370</v>
      </c>
      <c r="D447" s="3" t="s">
        <v>1371</v>
      </c>
      <c r="E447" s="3" t="s">
        <v>54</v>
      </c>
      <c r="F447" s="3" t="s">
        <v>6</v>
      </c>
      <c r="G447" s="6">
        <v>7162679035.3000002</v>
      </c>
      <c r="H447" s="6">
        <v>2517020.9300000002</v>
      </c>
      <c r="I447" s="6">
        <v>1597662.14</v>
      </c>
      <c r="J447" s="6">
        <f t="shared" si="6"/>
        <v>919358.79000000027</v>
      </c>
      <c r="K447" s="3">
        <v>0.03</v>
      </c>
    </row>
    <row r="448" spans="1:11" s="3" customFormat="1" ht="15" customHeight="1" x14ac:dyDescent="0.25">
      <c r="A448" s="3" t="s">
        <v>1367</v>
      </c>
      <c r="B448" s="3" t="s">
        <v>17</v>
      </c>
      <c r="C448" s="3" t="s">
        <v>1372</v>
      </c>
      <c r="D448" s="3" t="s">
        <v>1373</v>
      </c>
      <c r="E448" s="3" t="s">
        <v>54</v>
      </c>
      <c r="F448" s="3" t="s">
        <v>6</v>
      </c>
      <c r="G448" s="6">
        <v>2953702898.96</v>
      </c>
      <c r="H448" s="6">
        <v>2943350.95</v>
      </c>
      <c r="I448" s="6">
        <v>1816593.28</v>
      </c>
      <c r="J448" s="6">
        <f t="shared" si="6"/>
        <v>1126757.6700000002</v>
      </c>
      <c r="K448" s="3">
        <v>0.09</v>
      </c>
    </row>
    <row r="449" spans="1:11" s="3" customFormat="1" ht="15" customHeight="1" x14ac:dyDescent="0.25">
      <c r="A449" s="3" t="s">
        <v>1367</v>
      </c>
      <c r="B449" s="3" t="s">
        <v>1374</v>
      </c>
      <c r="C449" s="3" t="s">
        <v>1375</v>
      </c>
      <c r="D449" s="3" t="s">
        <v>1376</v>
      </c>
      <c r="E449" s="3" t="s">
        <v>847</v>
      </c>
      <c r="F449" s="3" t="s">
        <v>6</v>
      </c>
      <c r="G449" s="6">
        <v>2219652489.9000001</v>
      </c>
      <c r="H449" s="6">
        <v>4300794.2699999996</v>
      </c>
      <c r="I449" s="6">
        <v>2759599.01</v>
      </c>
      <c r="J449" s="6">
        <f t="shared" si="6"/>
        <v>1541195.2599999998</v>
      </c>
      <c r="K449" s="3">
        <v>0.19</v>
      </c>
    </row>
    <row r="450" spans="1:11" s="3" customFormat="1" ht="15" customHeight="1" x14ac:dyDescent="0.25">
      <c r="A450" s="3" t="s">
        <v>1367</v>
      </c>
      <c r="B450" s="3" t="s">
        <v>1377</v>
      </c>
      <c r="C450" s="3" t="s">
        <v>1378</v>
      </c>
      <c r="D450" s="3" t="s">
        <v>1379</v>
      </c>
      <c r="E450" s="3" t="s">
        <v>54</v>
      </c>
      <c r="F450" s="3" t="s">
        <v>6</v>
      </c>
      <c r="G450" s="6">
        <v>1559094486.7</v>
      </c>
      <c r="H450" s="6">
        <v>3051855.09</v>
      </c>
      <c r="I450" s="6">
        <v>2014256.18</v>
      </c>
      <c r="J450" s="6">
        <f t="shared" si="6"/>
        <v>1037598.9099999999</v>
      </c>
      <c r="K450" s="3">
        <v>0.19</v>
      </c>
    </row>
    <row r="451" spans="1:11" s="3" customFormat="1" ht="15" customHeight="1" x14ac:dyDescent="0.25">
      <c r="A451" s="3" t="s">
        <v>1367</v>
      </c>
      <c r="B451" s="3" t="s">
        <v>1380</v>
      </c>
      <c r="C451" s="3" t="s">
        <v>1381</v>
      </c>
      <c r="D451" s="3" t="s">
        <v>1382</v>
      </c>
      <c r="E451" s="3" t="s">
        <v>54</v>
      </c>
      <c r="F451" s="3" t="s">
        <v>6</v>
      </c>
      <c r="G451" s="6">
        <v>1035934207.6900001</v>
      </c>
      <c r="H451" s="6">
        <v>2245661.84</v>
      </c>
      <c r="I451" s="6">
        <v>1460190.66</v>
      </c>
      <c r="J451" s="6">
        <f t="shared" si="6"/>
        <v>785471.17999999993</v>
      </c>
      <c r="K451" s="3">
        <v>0.21</v>
      </c>
    </row>
    <row r="452" spans="1:11" s="3" customFormat="1" ht="15" customHeight="1" x14ac:dyDescent="0.25">
      <c r="A452" s="3" t="s">
        <v>1367</v>
      </c>
      <c r="B452" s="3" t="s">
        <v>1383</v>
      </c>
      <c r="C452" s="3" t="s">
        <v>1384</v>
      </c>
      <c r="D452" s="3" t="s">
        <v>1385</v>
      </c>
      <c r="E452" s="3" t="s">
        <v>54</v>
      </c>
      <c r="F452" s="3" t="s">
        <v>6</v>
      </c>
      <c r="G452" s="6">
        <v>988878958.45000005</v>
      </c>
      <c r="H452" s="6">
        <v>2376867.58</v>
      </c>
      <c r="I452" s="6">
        <v>1528314.29</v>
      </c>
      <c r="J452" s="6">
        <f t="shared" ref="J452:J515" si="7">H452-I452</f>
        <v>848553.29</v>
      </c>
      <c r="K452" s="3">
        <v>0.24</v>
      </c>
    </row>
    <row r="453" spans="1:11" s="3" customFormat="1" ht="15" customHeight="1" x14ac:dyDescent="0.25">
      <c r="A453" s="3" t="s">
        <v>1367</v>
      </c>
      <c r="B453" s="3" t="s">
        <v>1386</v>
      </c>
      <c r="C453" s="3" t="s">
        <v>1387</v>
      </c>
      <c r="D453" s="3" t="s">
        <v>1388</v>
      </c>
      <c r="E453" s="3" t="s">
        <v>54</v>
      </c>
      <c r="F453" s="3" t="s">
        <v>6</v>
      </c>
      <c r="G453" s="6">
        <v>958250026.72000003</v>
      </c>
      <c r="H453" s="6">
        <v>303755.7</v>
      </c>
      <c r="I453" s="6">
        <v>122803.19</v>
      </c>
      <c r="J453" s="6">
        <f t="shared" si="7"/>
        <v>180952.51</v>
      </c>
      <c r="K453" s="3">
        <v>0.03</v>
      </c>
    </row>
    <row r="454" spans="1:11" s="3" customFormat="1" ht="15" customHeight="1" x14ac:dyDescent="0.25">
      <c r="A454" s="3" t="s">
        <v>1367</v>
      </c>
      <c r="B454" s="3" t="s">
        <v>1389</v>
      </c>
      <c r="C454" s="3" t="s">
        <v>1390</v>
      </c>
      <c r="D454" s="3" t="s">
        <v>1391</v>
      </c>
      <c r="E454" s="3" t="s">
        <v>54</v>
      </c>
      <c r="F454" s="3" t="s">
        <v>6</v>
      </c>
      <c r="G454" s="6">
        <v>911241140.88</v>
      </c>
      <c r="H454" s="6">
        <v>1473751.24</v>
      </c>
      <c r="I454" s="6">
        <v>829672.91</v>
      </c>
      <c r="J454" s="6">
        <f t="shared" si="7"/>
        <v>644078.32999999996</v>
      </c>
      <c r="K454" s="3">
        <v>0.16</v>
      </c>
    </row>
    <row r="455" spans="1:11" s="3" customFormat="1" ht="15" customHeight="1" x14ac:dyDescent="0.25">
      <c r="A455" s="3" t="s">
        <v>1367</v>
      </c>
      <c r="B455" s="3" t="s">
        <v>1392</v>
      </c>
      <c r="C455" s="3" t="s">
        <v>1393</v>
      </c>
      <c r="D455" s="3" t="s">
        <v>1394</v>
      </c>
      <c r="E455" s="3" t="s">
        <v>1395</v>
      </c>
      <c r="F455" s="3" t="s">
        <v>6</v>
      </c>
      <c r="G455" s="6">
        <v>586207439.70000005</v>
      </c>
      <c r="H455" s="6">
        <v>1044224.43</v>
      </c>
      <c r="I455" s="6">
        <v>697203.28</v>
      </c>
      <c r="J455" s="6">
        <f t="shared" si="7"/>
        <v>347021.15</v>
      </c>
      <c r="K455" s="3">
        <v>0.17</v>
      </c>
    </row>
    <row r="456" spans="1:11" s="3" customFormat="1" ht="15" customHeight="1" x14ac:dyDescent="0.25">
      <c r="A456" s="3" t="s">
        <v>1367</v>
      </c>
      <c r="B456" s="3" t="s">
        <v>1396</v>
      </c>
      <c r="C456" s="3" t="s">
        <v>1397</v>
      </c>
      <c r="D456" s="3" t="s">
        <v>1398</v>
      </c>
      <c r="E456" s="3" t="s">
        <v>54</v>
      </c>
      <c r="F456" s="3" t="s">
        <v>6</v>
      </c>
      <c r="G456" s="6">
        <v>341527732.31999999</v>
      </c>
      <c r="H456" s="6">
        <v>795767.31</v>
      </c>
      <c r="I456" s="6">
        <v>502731.65</v>
      </c>
      <c r="J456" s="6">
        <f t="shared" si="7"/>
        <v>293035.66000000003</v>
      </c>
      <c r="K456" s="3">
        <v>0.23</v>
      </c>
    </row>
    <row r="457" spans="1:11" s="3" customFormat="1" ht="15" customHeight="1" x14ac:dyDescent="0.25">
      <c r="A457" s="3" t="s">
        <v>1367</v>
      </c>
      <c r="B457" s="3" t="s">
        <v>1399</v>
      </c>
      <c r="C457" s="3" t="s">
        <v>1400</v>
      </c>
      <c r="D457" s="3" t="s">
        <v>1401</v>
      </c>
      <c r="E457" s="3" t="s">
        <v>1402</v>
      </c>
      <c r="F457" s="3" t="s">
        <v>6</v>
      </c>
      <c r="G457" s="6">
        <v>334962373.26999998</v>
      </c>
      <c r="H457" s="6">
        <v>1069224.1299999999</v>
      </c>
      <c r="I457" s="6">
        <v>756846.77</v>
      </c>
      <c r="J457" s="6">
        <f t="shared" si="7"/>
        <v>312377.35999999987</v>
      </c>
      <c r="K457" s="3">
        <v>0.31</v>
      </c>
    </row>
    <row r="458" spans="1:11" s="3" customFormat="1" ht="15" customHeight="1" x14ac:dyDescent="0.25">
      <c r="A458" s="3" t="s">
        <v>1367</v>
      </c>
      <c r="B458" s="3" t="s">
        <v>1403</v>
      </c>
      <c r="C458" s="3" t="s">
        <v>1404</v>
      </c>
      <c r="D458" s="3" t="s">
        <v>1405</v>
      </c>
      <c r="E458" s="3" t="s">
        <v>1406</v>
      </c>
      <c r="F458" s="3" t="s">
        <v>6</v>
      </c>
      <c r="G458" s="6">
        <v>297719157.88</v>
      </c>
      <c r="H458" s="6">
        <v>776119.12</v>
      </c>
      <c r="I458" s="6">
        <v>486705.95</v>
      </c>
      <c r="J458" s="6">
        <f t="shared" si="7"/>
        <v>289413.17</v>
      </c>
      <c r="K458" s="3">
        <v>0.26</v>
      </c>
    </row>
    <row r="459" spans="1:11" s="3" customFormat="1" ht="15" customHeight="1" x14ac:dyDescent="0.25">
      <c r="A459" s="3" t="s">
        <v>1367</v>
      </c>
      <c r="B459" s="3" t="s">
        <v>1407</v>
      </c>
      <c r="C459" s="3" t="s">
        <v>1408</v>
      </c>
      <c r="D459" s="3" t="s">
        <v>1409</v>
      </c>
      <c r="E459" s="3" t="s">
        <v>54</v>
      </c>
      <c r="F459" s="3" t="s">
        <v>6</v>
      </c>
      <c r="G459" s="6">
        <v>142952151.19</v>
      </c>
      <c r="H459" s="6">
        <v>309323.74</v>
      </c>
      <c r="I459" s="6">
        <v>159756.99</v>
      </c>
      <c r="J459" s="6">
        <f t="shared" si="7"/>
        <v>149566.75</v>
      </c>
      <c r="K459" s="3">
        <v>0.21</v>
      </c>
    </row>
    <row r="460" spans="1:11" s="3" customFormat="1" ht="15" customHeight="1" x14ac:dyDescent="0.25">
      <c r="A460" s="3" t="s">
        <v>1367</v>
      </c>
      <c r="B460" s="3" t="s">
        <v>1410</v>
      </c>
      <c r="C460" s="3" t="s">
        <v>1411</v>
      </c>
      <c r="D460" s="3" t="s">
        <v>1412</v>
      </c>
      <c r="E460" s="3" t="s">
        <v>54</v>
      </c>
      <c r="F460" s="3" t="s">
        <v>6</v>
      </c>
      <c r="G460" s="6">
        <v>111734913.92</v>
      </c>
      <c r="H460" s="6">
        <v>382067.71</v>
      </c>
      <c r="I460" s="6">
        <v>280212.86</v>
      </c>
      <c r="J460" s="6">
        <f t="shared" si="7"/>
        <v>101854.85000000003</v>
      </c>
      <c r="K460" s="3">
        <v>0.34</v>
      </c>
    </row>
    <row r="461" spans="1:11" s="3" customFormat="1" ht="15" customHeight="1" x14ac:dyDescent="0.25">
      <c r="A461" s="3" t="s">
        <v>1367</v>
      </c>
      <c r="B461" s="3" t="s">
        <v>1413</v>
      </c>
      <c r="C461" s="3" t="s">
        <v>1414</v>
      </c>
      <c r="D461" s="3" t="s">
        <v>1415</v>
      </c>
      <c r="E461" s="3" t="s">
        <v>54</v>
      </c>
      <c r="F461" s="3" t="s">
        <v>6</v>
      </c>
      <c r="G461" s="6">
        <v>64904892.189999998</v>
      </c>
      <c r="H461" s="6">
        <v>46216.61</v>
      </c>
      <c r="I461" s="6">
        <v>30594.3</v>
      </c>
      <c r="J461" s="6">
        <f t="shared" si="7"/>
        <v>15622.310000000001</v>
      </c>
      <c r="K461" s="3">
        <v>7.0000000000000007E-2</v>
      </c>
    </row>
    <row r="462" spans="1:11" s="3" customFormat="1" ht="15" customHeight="1" x14ac:dyDescent="0.25">
      <c r="A462" s="3" t="s">
        <v>1367</v>
      </c>
      <c r="B462" s="3" t="s">
        <v>1416</v>
      </c>
      <c r="C462" s="3" t="s">
        <v>1417</v>
      </c>
      <c r="D462" s="3" t="s">
        <v>1418</v>
      </c>
      <c r="E462" s="3" t="s">
        <v>76</v>
      </c>
      <c r="F462" s="3" t="s">
        <v>6</v>
      </c>
      <c r="G462" s="6">
        <v>41938721.420000002</v>
      </c>
      <c r="H462" s="6">
        <v>139579.64000000001</v>
      </c>
      <c r="I462" s="6">
        <v>89042.37</v>
      </c>
      <c r="J462" s="6">
        <f t="shared" si="7"/>
        <v>50537.270000000019</v>
      </c>
      <c r="K462" s="3">
        <v>0.33</v>
      </c>
    </row>
    <row r="463" spans="1:11" s="3" customFormat="1" ht="15" customHeight="1" x14ac:dyDescent="0.25">
      <c r="A463" s="3" t="s">
        <v>1367</v>
      </c>
      <c r="B463" s="3" t="s">
        <v>1419</v>
      </c>
      <c r="C463" s="3" t="s">
        <v>1420</v>
      </c>
      <c r="D463" s="3" t="s">
        <v>1421</v>
      </c>
      <c r="E463" s="3" t="s">
        <v>76</v>
      </c>
      <c r="F463" s="3" t="s">
        <v>6</v>
      </c>
      <c r="G463" s="6">
        <v>34771720.880000003</v>
      </c>
      <c r="H463" s="6">
        <v>70363.83</v>
      </c>
      <c r="I463" s="6">
        <v>51352.67</v>
      </c>
      <c r="J463" s="6">
        <f t="shared" si="7"/>
        <v>19011.160000000003</v>
      </c>
      <c r="K463" s="3">
        <v>0.2</v>
      </c>
    </row>
    <row r="464" spans="1:11" s="3" customFormat="1" ht="15" customHeight="1" x14ac:dyDescent="0.25">
      <c r="A464" s="3" t="s">
        <v>1367</v>
      </c>
      <c r="B464" s="3" t="s">
        <v>1422</v>
      </c>
      <c r="C464" s="3" t="s">
        <v>1423</v>
      </c>
      <c r="D464" s="3" t="s">
        <v>1424</v>
      </c>
      <c r="E464" s="3" t="s">
        <v>1406</v>
      </c>
      <c r="F464" s="3" t="s">
        <v>6</v>
      </c>
      <c r="G464" s="6">
        <v>11240836.630000001</v>
      </c>
      <c r="H464" s="6">
        <v>38944.879999999997</v>
      </c>
      <c r="I464" s="6">
        <v>27248.3</v>
      </c>
      <c r="J464" s="6">
        <f t="shared" si="7"/>
        <v>11696.579999999998</v>
      </c>
      <c r="K464" s="3">
        <v>0.34</v>
      </c>
    </row>
    <row r="465" spans="1:11" s="3" customFormat="1" ht="15" customHeight="1" x14ac:dyDescent="0.25">
      <c r="A465" s="3" t="s">
        <v>1367</v>
      </c>
      <c r="B465" s="3" t="s">
        <v>1425</v>
      </c>
      <c r="C465" s="3" t="s">
        <v>1426</v>
      </c>
      <c r="D465" s="3" t="s">
        <v>1427</v>
      </c>
      <c r="E465" s="3" t="s">
        <v>54</v>
      </c>
      <c r="F465" s="3" t="s">
        <v>6</v>
      </c>
      <c r="G465" s="6">
        <v>7115934.3300000001</v>
      </c>
      <c r="H465" s="6">
        <v>30410.11</v>
      </c>
      <c r="I465" s="6">
        <v>22206.560000000001</v>
      </c>
      <c r="J465" s="6">
        <f t="shared" si="7"/>
        <v>8203.5499999999993</v>
      </c>
      <c r="K465" s="3">
        <v>0.42</v>
      </c>
    </row>
    <row r="466" spans="1:11" s="3" customFormat="1" ht="15" customHeight="1" x14ac:dyDescent="0.25">
      <c r="A466" s="3" t="s">
        <v>1367</v>
      </c>
      <c r="B466" s="3" t="s">
        <v>1428</v>
      </c>
      <c r="C466" s="3" t="s">
        <v>1429</v>
      </c>
      <c r="D466" s="3" t="s">
        <v>1430</v>
      </c>
      <c r="E466" s="3" t="s">
        <v>54</v>
      </c>
      <c r="F466" s="3" t="s">
        <v>6</v>
      </c>
      <c r="G466" s="6">
        <v>2794959.85</v>
      </c>
      <c r="H466" s="6">
        <v>5976.76</v>
      </c>
      <c r="I466" s="6">
        <v>2524.1999999999998</v>
      </c>
      <c r="J466" s="6">
        <f t="shared" si="7"/>
        <v>3452.5600000000004</v>
      </c>
      <c r="K466" s="3">
        <v>0.21</v>
      </c>
    </row>
    <row r="467" spans="1:11" s="3" customFormat="1" ht="15" customHeight="1" x14ac:dyDescent="0.25">
      <c r="A467" s="3" t="s">
        <v>1367</v>
      </c>
      <c r="B467" s="3" t="s">
        <v>1431</v>
      </c>
      <c r="C467" s="3" t="s">
        <v>1432</v>
      </c>
      <c r="D467" s="3" t="s">
        <v>1433</v>
      </c>
      <c r="E467" s="3" t="s">
        <v>54</v>
      </c>
      <c r="F467" s="3" t="s">
        <v>6</v>
      </c>
      <c r="G467" s="6">
        <v>206888.63</v>
      </c>
      <c r="H467" s="6">
        <v>481.1</v>
      </c>
      <c r="I467" s="6">
        <v>0</v>
      </c>
      <c r="J467" s="6">
        <f t="shared" si="7"/>
        <v>481.1</v>
      </c>
      <c r="K467" s="3">
        <v>0.23</v>
      </c>
    </row>
    <row r="468" spans="1:11" s="3" customFormat="1" ht="15" customHeight="1" x14ac:dyDescent="0.25">
      <c r="A468" s="3" t="s">
        <v>1434</v>
      </c>
      <c r="B468" s="3" t="s">
        <v>1435</v>
      </c>
      <c r="C468" s="3" t="s">
        <v>1434</v>
      </c>
      <c r="D468" s="3" t="s">
        <v>1436</v>
      </c>
      <c r="E468" s="3" t="s">
        <v>1437</v>
      </c>
      <c r="F468" s="3" t="s">
        <v>6</v>
      </c>
      <c r="G468" s="6">
        <v>495460493.35000002</v>
      </c>
      <c r="H468" s="6">
        <v>1341789.92</v>
      </c>
      <c r="I468" s="6">
        <v>0</v>
      </c>
      <c r="J468" s="6">
        <f t="shared" si="7"/>
        <v>1341789.92</v>
      </c>
      <c r="K468" s="3">
        <v>0.27</v>
      </c>
    </row>
    <row r="469" spans="1:11" s="3" customFormat="1" ht="15" customHeight="1" x14ac:dyDescent="0.25">
      <c r="A469" s="3" t="s">
        <v>1434</v>
      </c>
      <c r="B469" s="3" t="s">
        <v>1438</v>
      </c>
      <c r="C469" s="3" t="s">
        <v>1439</v>
      </c>
      <c r="D469" s="3" t="s">
        <v>1440</v>
      </c>
      <c r="E469" s="3" t="s">
        <v>1441</v>
      </c>
      <c r="F469" s="3" t="s">
        <v>6</v>
      </c>
      <c r="G469" s="6">
        <v>35806.78</v>
      </c>
      <c r="H469" s="6">
        <v>431.99</v>
      </c>
      <c r="I469" s="6">
        <v>261.67</v>
      </c>
      <c r="J469" s="6">
        <f t="shared" si="7"/>
        <v>170.32</v>
      </c>
      <c r="K469" s="3">
        <v>1.2</v>
      </c>
    </row>
    <row r="470" spans="1:11" s="3" customFormat="1" ht="15" customHeight="1" x14ac:dyDescent="0.25">
      <c r="A470" s="3" t="s">
        <v>1442</v>
      </c>
      <c r="B470" s="3" t="s">
        <v>1443</v>
      </c>
      <c r="C470" s="3" t="s">
        <v>1442</v>
      </c>
      <c r="D470" s="3" t="s">
        <v>1444</v>
      </c>
      <c r="E470" s="3" t="s">
        <v>1445</v>
      </c>
      <c r="F470" s="3" t="s">
        <v>6</v>
      </c>
      <c r="G470" s="6">
        <v>168039926.30000001</v>
      </c>
      <c r="H470" s="6">
        <v>265143.71000000002</v>
      </c>
      <c r="I470" s="6">
        <v>0</v>
      </c>
      <c r="J470" s="6">
        <f t="shared" si="7"/>
        <v>265143.71000000002</v>
      </c>
      <c r="K470" s="3">
        <v>0.15</v>
      </c>
    </row>
    <row r="471" spans="1:11" s="3" customFormat="1" ht="15" customHeight="1" x14ac:dyDescent="0.25">
      <c r="A471" s="3" t="s">
        <v>1446</v>
      </c>
      <c r="B471" s="3" t="s">
        <v>1447</v>
      </c>
      <c r="C471" s="3" t="s">
        <v>1448</v>
      </c>
      <c r="D471" s="3" t="s">
        <v>1449</v>
      </c>
      <c r="E471" s="3" t="s">
        <v>1450</v>
      </c>
      <c r="F471" s="3" t="s">
        <v>6</v>
      </c>
      <c r="G471" s="6">
        <v>486040409.07999998</v>
      </c>
      <c r="H471" s="6">
        <v>1114070.1200000001</v>
      </c>
      <c r="I471" s="6">
        <v>673192.49</v>
      </c>
      <c r="J471" s="6">
        <f t="shared" si="7"/>
        <v>440877.63000000012</v>
      </c>
      <c r="K471" s="3">
        <v>0.22</v>
      </c>
    </row>
    <row r="472" spans="1:11" s="3" customFormat="1" ht="15" customHeight="1" x14ac:dyDescent="0.25">
      <c r="A472" s="3" t="s">
        <v>1446</v>
      </c>
      <c r="B472" s="3" t="s">
        <v>1451</v>
      </c>
      <c r="C472" s="3" t="s">
        <v>1446</v>
      </c>
      <c r="D472" s="3" t="s">
        <v>1452</v>
      </c>
      <c r="E472" s="3" t="s">
        <v>1450</v>
      </c>
      <c r="F472" s="3" t="s">
        <v>6</v>
      </c>
      <c r="G472" s="6">
        <v>479253073.48000002</v>
      </c>
      <c r="H472" s="6">
        <v>1008759.15</v>
      </c>
      <c r="I472" s="6">
        <v>0</v>
      </c>
      <c r="J472" s="6">
        <f t="shared" si="7"/>
        <v>1008759.15</v>
      </c>
      <c r="K472" s="3">
        <v>0.21</v>
      </c>
    </row>
    <row r="473" spans="1:11" s="3" customFormat="1" ht="15" customHeight="1" x14ac:dyDescent="0.25">
      <c r="A473" s="3" t="s">
        <v>1446</v>
      </c>
      <c r="B473" s="3" t="s">
        <v>1453</v>
      </c>
      <c r="C473" s="3" t="s">
        <v>1454</v>
      </c>
      <c r="D473" s="3" t="s">
        <v>1455</v>
      </c>
      <c r="E473" s="3" t="s">
        <v>1450</v>
      </c>
      <c r="F473" s="3" t="s">
        <v>6</v>
      </c>
      <c r="G473" s="6">
        <v>208487555.65000001</v>
      </c>
      <c r="H473" s="6">
        <v>1047183.13</v>
      </c>
      <c r="I473" s="6">
        <v>777108.3</v>
      </c>
      <c r="J473" s="6">
        <f t="shared" si="7"/>
        <v>270074.82999999996</v>
      </c>
      <c r="K473" s="3">
        <v>0.5</v>
      </c>
    </row>
    <row r="474" spans="1:11" s="3" customFormat="1" ht="15" customHeight="1" x14ac:dyDescent="0.25">
      <c r="A474" s="3" t="s">
        <v>1456</v>
      </c>
      <c r="B474" s="3" t="s">
        <v>1457</v>
      </c>
      <c r="C474" s="3" t="s">
        <v>1458</v>
      </c>
      <c r="D474" s="3" t="s">
        <v>1459</v>
      </c>
      <c r="E474" s="3" t="s">
        <v>1460</v>
      </c>
      <c r="F474" s="3" t="s">
        <v>6</v>
      </c>
      <c r="G474" s="6">
        <v>16567618976.65</v>
      </c>
      <c r="H474" s="6">
        <v>3567094.6</v>
      </c>
      <c r="I474" s="6">
        <v>2496953.21</v>
      </c>
      <c r="J474" s="6">
        <f t="shared" si="7"/>
        <v>1070141.3900000001</v>
      </c>
      <c r="K474" s="3">
        <v>0.02</v>
      </c>
    </row>
    <row r="475" spans="1:11" s="3" customFormat="1" ht="15" customHeight="1" x14ac:dyDescent="0.25">
      <c r="A475" s="3" t="s">
        <v>1456</v>
      </c>
      <c r="B475" s="3" t="s">
        <v>1461</v>
      </c>
      <c r="C475" s="3" t="s">
        <v>1462</v>
      </c>
      <c r="D475" s="3" t="s">
        <v>1463</v>
      </c>
      <c r="E475" s="3" t="s">
        <v>1460</v>
      </c>
      <c r="F475" s="3" t="s">
        <v>6</v>
      </c>
      <c r="G475" s="6">
        <v>16283100615.549999</v>
      </c>
      <c r="H475" s="6">
        <v>3729603.55</v>
      </c>
      <c r="I475" s="6">
        <v>2784184.01</v>
      </c>
      <c r="J475" s="6">
        <f t="shared" si="7"/>
        <v>945419.54</v>
      </c>
      <c r="K475" s="3">
        <v>0.02</v>
      </c>
    </row>
    <row r="476" spans="1:11" s="3" customFormat="1" ht="15" customHeight="1" x14ac:dyDescent="0.25">
      <c r="A476" s="3" t="s">
        <v>1464</v>
      </c>
      <c r="B476" s="3" t="s">
        <v>1465</v>
      </c>
      <c r="C476" s="3" t="s">
        <v>1464</v>
      </c>
      <c r="D476" s="3" t="s">
        <v>1466</v>
      </c>
      <c r="E476" s="3" t="s">
        <v>1467</v>
      </c>
      <c r="F476" s="3" t="s">
        <v>6</v>
      </c>
      <c r="G476" s="6">
        <v>660676030.70000005</v>
      </c>
      <c r="H476" s="6">
        <v>1411824.13</v>
      </c>
      <c r="I476" s="6">
        <v>0</v>
      </c>
      <c r="J476" s="6">
        <f t="shared" si="7"/>
        <v>1411824.13</v>
      </c>
      <c r="K476" s="3">
        <v>0.21</v>
      </c>
    </row>
    <row r="477" spans="1:11" s="3" customFormat="1" ht="15" customHeight="1" x14ac:dyDescent="0.25">
      <c r="A477" s="3" t="s">
        <v>1468</v>
      </c>
      <c r="B477" s="3" t="s">
        <v>1469</v>
      </c>
      <c r="C477" s="3" t="s">
        <v>1468</v>
      </c>
      <c r="D477" s="3" t="s">
        <v>1470</v>
      </c>
      <c r="E477" s="3" t="s">
        <v>1471</v>
      </c>
      <c r="F477" s="3" t="s">
        <v>6</v>
      </c>
      <c r="G477" s="6">
        <v>828643272.10000002</v>
      </c>
      <c r="H477" s="6">
        <v>982159.59</v>
      </c>
      <c r="I477" s="6">
        <v>7144.47</v>
      </c>
      <c r="J477" s="6">
        <f t="shared" si="7"/>
        <v>975015.12</v>
      </c>
      <c r="K477" s="3">
        <v>0.11</v>
      </c>
    </row>
    <row r="478" spans="1:11" s="3" customFormat="1" ht="15" customHeight="1" x14ac:dyDescent="0.25">
      <c r="A478" s="3" t="s">
        <v>1472</v>
      </c>
      <c r="B478" s="3" t="s">
        <v>1473</v>
      </c>
      <c r="C478" s="3" t="s">
        <v>1472</v>
      </c>
      <c r="D478" s="3" t="s">
        <v>1474</v>
      </c>
      <c r="E478" s="3" t="s">
        <v>1475</v>
      </c>
      <c r="F478" s="3" t="s">
        <v>6</v>
      </c>
      <c r="G478" s="6">
        <v>1606806895</v>
      </c>
      <c r="H478" s="6">
        <v>1728729.54</v>
      </c>
      <c r="I478" s="6">
        <v>0</v>
      </c>
      <c r="J478" s="6">
        <f t="shared" si="7"/>
        <v>1728729.54</v>
      </c>
      <c r="K478" s="3">
        <v>0.1</v>
      </c>
    </row>
    <row r="479" spans="1:11" s="3" customFormat="1" ht="15" customHeight="1" x14ac:dyDescent="0.25">
      <c r="A479" s="3" t="s">
        <v>1472</v>
      </c>
      <c r="B479" s="3" t="s">
        <v>1476</v>
      </c>
      <c r="C479" s="3" t="s">
        <v>1477</v>
      </c>
      <c r="D479" s="3" t="s">
        <v>1478</v>
      </c>
      <c r="E479" s="3" t="s">
        <v>1475</v>
      </c>
      <c r="F479" s="3" t="s">
        <v>6</v>
      </c>
      <c r="G479" s="6">
        <v>415046838.81999999</v>
      </c>
      <c r="H479" s="6">
        <v>421715.62</v>
      </c>
      <c r="I479" s="6">
        <v>199476.91</v>
      </c>
      <c r="J479" s="6">
        <f t="shared" si="7"/>
        <v>222238.71</v>
      </c>
      <c r="K479" s="3">
        <v>0.1</v>
      </c>
    </row>
    <row r="480" spans="1:11" s="3" customFormat="1" ht="15" customHeight="1" x14ac:dyDescent="0.25">
      <c r="A480" s="3" t="s">
        <v>1472</v>
      </c>
      <c r="B480" s="3" t="s">
        <v>781</v>
      </c>
      <c r="C480" s="3" t="s">
        <v>1479</v>
      </c>
      <c r="D480" s="3" t="s">
        <v>1480</v>
      </c>
      <c r="E480" s="3" t="s">
        <v>1475</v>
      </c>
      <c r="F480" s="3" t="s">
        <v>6</v>
      </c>
      <c r="G480" s="6">
        <v>159063135.56</v>
      </c>
      <c r="H480" s="6">
        <v>294057.21999999997</v>
      </c>
      <c r="I480" s="6">
        <v>205195.11</v>
      </c>
      <c r="J480" s="6">
        <f t="shared" si="7"/>
        <v>88862.109999999986</v>
      </c>
      <c r="K480" s="3">
        <v>0.18</v>
      </c>
    </row>
    <row r="481" spans="1:11" s="3" customFormat="1" ht="15" customHeight="1" x14ac:dyDescent="0.25">
      <c r="A481" s="3" t="s">
        <v>1481</v>
      </c>
      <c r="B481" s="3" t="s">
        <v>849</v>
      </c>
      <c r="C481" s="3" t="s">
        <v>1481</v>
      </c>
      <c r="D481" s="3" t="s">
        <v>1482</v>
      </c>
      <c r="E481" s="3" t="s">
        <v>1483</v>
      </c>
      <c r="F481" s="3" t="s">
        <v>6</v>
      </c>
      <c r="G481" s="6">
        <v>2698259030.2800002</v>
      </c>
      <c r="H481" s="6">
        <v>2996568.89</v>
      </c>
      <c r="I481" s="6">
        <v>224565.52</v>
      </c>
      <c r="J481" s="6">
        <f t="shared" si="7"/>
        <v>2772003.37</v>
      </c>
      <c r="K481" s="3">
        <v>0.11</v>
      </c>
    </row>
    <row r="482" spans="1:11" s="3" customFormat="1" ht="15" customHeight="1" x14ac:dyDescent="0.25">
      <c r="A482" s="3" t="s">
        <v>1481</v>
      </c>
      <c r="B482" s="3" t="s">
        <v>1046</v>
      </c>
      <c r="C482" s="3" t="s">
        <v>1484</v>
      </c>
      <c r="D482" s="3" t="s">
        <v>1485</v>
      </c>
      <c r="E482" s="3" t="s">
        <v>1486</v>
      </c>
      <c r="F482" s="3" t="s">
        <v>1487</v>
      </c>
      <c r="G482" s="6">
        <v>634219.91</v>
      </c>
      <c r="H482" s="6">
        <v>1144.01</v>
      </c>
      <c r="I482" s="6">
        <v>699.1</v>
      </c>
      <c r="J482" s="6">
        <f t="shared" si="7"/>
        <v>444.90999999999997</v>
      </c>
      <c r="K482" s="3">
        <v>0.18</v>
      </c>
    </row>
    <row r="483" spans="1:11" s="3" customFormat="1" ht="15" customHeight="1" x14ac:dyDescent="0.25">
      <c r="A483" s="3" t="s">
        <v>1488</v>
      </c>
      <c r="B483" s="3" t="s">
        <v>1489</v>
      </c>
      <c r="C483" s="3" t="s">
        <v>1488</v>
      </c>
      <c r="D483" s="3" t="s">
        <v>1490</v>
      </c>
      <c r="E483" s="3" t="s">
        <v>1491</v>
      </c>
      <c r="F483" s="3" t="s">
        <v>6</v>
      </c>
      <c r="G483" s="6">
        <v>2072276910.95</v>
      </c>
      <c r="H483" s="6">
        <v>1843362.2</v>
      </c>
      <c r="I483" s="6">
        <v>1988.7</v>
      </c>
      <c r="J483" s="6">
        <f t="shared" si="7"/>
        <v>1841373.5</v>
      </c>
      <c r="K483" s="3">
        <v>0.08</v>
      </c>
    </row>
    <row r="484" spans="1:11" s="3" customFormat="1" ht="15" customHeight="1" x14ac:dyDescent="0.25">
      <c r="A484" s="3" t="s">
        <v>1488</v>
      </c>
      <c r="B484" s="3" t="s">
        <v>1492</v>
      </c>
      <c r="C484" s="3" t="s">
        <v>1493</v>
      </c>
      <c r="D484" s="3" t="s">
        <v>1494</v>
      </c>
      <c r="E484" s="3" t="s">
        <v>1491</v>
      </c>
      <c r="F484" s="3" t="s">
        <v>6</v>
      </c>
      <c r="G484" s="6">
        <v>5451159.0499999998</v>
      </c>
      <c r="H484" s="6">
        <v>20397.43</v>
      </c>
      <c r="I484" s="6">
        <v>14076.36</v>
      </c>
      <c r="J484" s="6">
        <f t="shared" si="7"/>
        <v>6321.07</v>
      </c>
      <c r="K484" s="3">
        <v>0.37</v>
      </c>
    </row>
    <row r="485" spans="1:11" s="3" customFormat="1" ht="15" customHeight="1" x14ac:dyDescent="0.25">
      <c r="A485" s="3" t="s">
        <v>1495</v>
      </c>
      <c r="B485" s="3" t="s">
        <v>1496</v>
      </c>
      <c r="C485" s="3" t="s">
        <v>1495</v>
      </c>
      <c r="D485" s="3" t="s">
        <v>1497</v>
      </c>
      <c r="E485" s="3" t="s">
        <v>888</v>
      </c>
      <c r="F485" s="3" t="s">
        <v>6</v>
      </c>
      <c r="G485" s="6">
        <v>1403084849.46</v>
      </c>
      <c r="H485" s="6">
        <v>1806180.24</v>
      </c>
      <c r="I485" s="6">
        <v>82544.66</v>
      </c>
      <c r="J485" s="6">
        <f t="shared" si="7"/>
        <v>1723635.58</v>
      </c>
      <c r="K485" s="3">
        <v>0.12</v>
      </c>
    </row>
    <row r="486" spans="1:11" s="3" customFormat="1" ht="15" customHeight="1" x14ac:dyDescent="0.25">
      <c r="A486" s="3" t="s">
        <v>1498</v>
      </c>
      <c r="B486" s="3" t="s">
        <v>1499</v>
      </c>
      <c r="C486" s="3" t="s">
        <v>1498</v>
      </c>
      <c r="D486" s="3" t="s">
        <v>1500</v>
      </c>
      <c r="E486" s="3" t="s">
        <v>888</v>
      </c>
      <c r="F486" s="3" t="s">
        <v>6</v>
      </c>
      <c r="G486" s="6">
        <v>519640891.44999999</v>
      </c>
      <c r="H486" s="6">
        <v>817465.42</v>
      </c>
      <c r="I486" s="6">
        <v>117.97</v>
      </c>
      <c r="J486" s="6">
        <f t="shared" si="7"/>
        <v>817347.45000000007</v>
      </c>
      <c r="K486" s="3">
        <v>0.15</v>
      </c>
    </row>
    <row r="487" spans="1:11" s="3" customFormat="1" ht="15" customHeight="1" x14ac:dyDescent="0.25">
      <c r="A487" s="3" t="s">
        <v>1501</v>
      </c>
      <c r="B487" s="3" t="s">
        <v>1502</v>
      </c>
      <c r="C487" s="3" t="s">
        <v>1501</v>
      </c>
      <c r="D487" s="3" t="s">
        <v>1503</v>
      </c>
      <c r="E487" s="3" t="s">
        <v>1504</v>
      </c>
      <c r="F487" s="3" t="s">
        <v>6</v>
      </c>
      <c r="G487" s="6">
        <v>541685360.00999999</v>
      </c>
      <c r="H487" s="6">
        <v>1187391.19</v>
      </c>
      <c r="I487" s="6">
        <v>0</v>
      </c>
      <c r="J487" s="6">
        <f t="shared" si="7"/>
        <v>1187391.19</v>
      </c>
      <c r="K487" s="3">
        <v>0.21</v>
      </c>
    </row>
    <row r="488" spans="1:11" s="3" customFormat="1" ht="15" customHeight="1" x14ac:dyDescent="0.25">
      <c r="A488" s="3" t="s">
        <v>1505</v>
      </c>
      <c r="B488" s="3" t="s">
        <v>1506</v>
      </c>
      <c r="C488" s="3" t="s">
        <v>1505</v>
      </c>
      <c r="D488" s="3" t="s">
        <v>1507</v>
      </c>
      <c r="E488" s="3" t="s">
        <v>1508</v>
      </c>
      <c r="F488" s="3" t="s">
        <v>6</v>
      </c>
      <c r="G488" s="6">
        <v>1220936800.1099999</v>
      </c>
      <c r="H488" s="6">
        <v>1758388.32</v>
      </c>
      <c r="I488" s="6">
        <v>0</v>
      </c>
      <c r="J488" s="6">
        <f t="shared" si="7"/>
        <v>1758388.32</v>
      </c>
      <c r="K488" s="3">
        <v>0.14000000000000001</v>
      </c>
    </row>
    <row r="489" spans="1:11" s="3" customFormat="1" ht="15" customHeight="1" x14ac:dyDescent="0.25">
      <c r="A489" s="3" t="s">
        <v>1509</v>
      </c>
      <c r="B489" s="3" t="s">
        <v>1238</v>
      </c>
      <c r="C489" s="3" t="s">
        <v>1510</v>
      </c>
      <c r="D489" s="3" t="s">
        <v>1511</v>
      </c>
      <c r="E489" s="3" t="s">
        <v>5</v>
      </c>
      <c r="F489" s="3" t="s">
        <v>6</v>
      </c>
      <c r="G489" s="6">
        <v>3134114351.4499998</v>
      </c>
      <c r="H489" s="6">
        <v>2637769.4700000002</v>
      </c>
      <c r="I489" s="6">
        <v>8663999.4600000009</v>
      </c>
      <c r="J489" s="6">
        <f t="shared" si="7"/>
        <v>-6026229.9900000002</v>
      </c>
      <c r="K489" s="3">
        <v>0.08</v>
      </c>
    </row>
    <row r="490" spans="1:11" s="3" customFormat="1" ht="15" customHeight="1" x14ac:dyDescent="0.25">
      <c r="A490" s="3" t="s">
        <v>1509</v>
      </c>
      <c r="B490" s="3" t="s">
        <v>1512</v>
      </c>
      <c r="C490" s="3" t="s">
        <v>1513</v>
      </c>
      <c r="D490" s="3" t="s">
        <v>1514</v>
      </c>
      <c r="E490" s="3" t="s">
        <v>1130</v>
      </c>
      <c r="F490" s="3" t="s">
        <v>1131</v>
      </c>
      <c r="G490" s="6">
        <v>2242936224.77</v>
      </c>
      <c r="H490" s="6">
        <v>3194032.17</v>
      </c>
      <c r="I490" s="6">
        <v>1867354.02</v>
      </c>
      <c r="J490" s="6">
        <f t="shared" si="7"/>
        <v>1326678.1499999999</v>
      </c>
      <c r="K490" s="3">
        <v>0.14000000000000001</v>
      </c>
    </row>
    <row r="491" spans="1:11" s="3" customFormat="1" ht="15" customHeight="1" x14ac:dyDescent="0.25">
      <c r="A491" s="3" t="s">
        <v>1509</v>
      </c>
      <c r="B491" s="3" t="s">
        <v>1515</v>
      </c>
      <c r="C491" s="3" t="s">
        <v>1516</v>
      </c>
      <c r="D491" s="3" t="s">
        <v>1517</v>
      </c>
      <c r="E491" s="3" t="s">
        <v>1467</v>
      </c>
      <c r="F491" s="3" t="s">
        <v>6</v>
      </c>
      <c r="G491" s="6">
        <v>2047315586.03</v>
      </c>
      <c r="H491" s="6">
        <v>2347159.27</v>
      </c>
      <c r="I491" s="6">
        <v>1411477.93</v>
      </c>
      <c r="J491" s="6">
        <f t="shared" si="7"/>
        <v>935681.34000000008</v>
      </c>
      <c r="K491" s="3">
        <v>0.11</v>
      </c>
    </row>
    <row r="492" spans="1:11" s="3" customFormat="1" ht="15" customHeight="1" x14ac:dyDescent="0.25">
      <c r="A492" s="3" t="s">
        <v>1509</v>
      </c>
      <c r="B492" s="3" t="s">
        <v>1518</v>
      </c>
      <c r="C492" s="3" t="s">
        <v>1519</v>
      </c>
      <c r="D492" s="3" t="s">
        <v>1520</v>
      </c>
      <c r="E492" s="3" t="s">
        <v>5</v>
      </c>
      <c r="F492" s="3" t="s">
        <v>6</v>
      </c>
      <c r="G492" s="6">
        <v>1366838832.77</v>
      </c>
      <c r="H492" s="6">
        <v>3586313.48</v>
      </c>
      <c r="I492" s="6">
        <v>2506458.79</v>
      </c>
      <c r="J492" s="6">
        <f t="shared" si="7"/>
        <v>1079854.69</v>
      </c>
      <c r="K492" s="3">
        <v>0.26</v>
      </c>
    </row>
    <row r="493" spans="1:11" s="3" customFormat="1" ht="15" customHeight="1" x14ac:dyDescent="0.25">
      <c r="A493" s="3" t="s">
        <v>1509</v>
      </c>
      <c r="B493" s="3" t="s">
        <v>1164</v>
      </c>
      <c r="C493" s="3" t="s">
        <v>1521</v>
      </c>
      <c r="D493" s="3" t="s">
        <v>1522</v>
      </c>
      <c r="E493" s="3" t="s">
        <v>19</v>
      </c>
      <c r="F493" s="3" t="s">
        <v>20</v>
      </c>
      <c r="G493" s="6">
        <v>1077429794.9200001</v>
      </c>
      <c r="H493" s="6">
        <v>2424527.73</v>
      </c>
      <c r="I493" s="6">
        <v>1838371.64</v>
      </c>
      <c r="J493" s="6">
        <f t="shared" si="7"/>
        <v>586156.09000000008</v>
      </c>
      <c r="K493" s="3">
        <v>0.22</v>
      </c>
    </row>
    <row r="494" spans="1:11" s="3" customFormat="1" ht="15" customHeight="1" x14ac:dyDescent="0.25">
      <c r="A494" s="3" t="s">
        <v>1509</v>
      </c>
      <c r="B494" s="3" t="s">
        <v>327</v>
      </c>
      <c r="C494" s="3" t="s">
        <v>1523</v>
      </c>
      <c r="D494" s="3" t="s">
        <v>1524</v>
      </c>
      <c r="E494" s="3" t="s">
        <v>5</v>
      </c>
      <c r="F494" s="3" t="s">
        <v>6</v>
      </c>
      <c r="G494" s="6">
        <v>1037759904.3099999</v>
      </c>
      <c r="H494" s="6">
        <v>1854099.01</v>
      </c>
      <c r="I494" s="6">
        <v>1093263.3999999999</v>
      </c>
      <c r="J494" s="6">
        <f t="shared" si="7"/>
        <v>760835.6100000001</v>
      </c>
      <c r="K494" s="3">
        <v>0.17</v>
      </c>
    </row>
    <row r="495" spans="1:11" s="3" customFormat="1" ht="15" customHeight="1" x14ac:dyDescent="0.25">
      <c r="A495" s="3" t="s">
        <v>1509</v>
      </c>
      <c r="B495" s="3" t="s">
        <v>1525</v>
      </c>
      <c r="C495" s="3" t="s">
        <v>1526</v>
      </c>
      <c r="D495" s="3" t="s">
        <v>1527</v>
      </c>
      <c r="E495" s="3" t="s">
        <v>1528</v>
      </c>
      <c r="F495" s="3" t="s">
        <v>6</v>
      </c>
      <c r="G495" s="6">
        <v>1006256055.36</v>
      </c>
      <c r="H495" s="6">
        <v>2633477.9500000002</v>
      </c>
      <c r="I495" s="6">
        <v>1752719.79</v>
      </c>
      <c r="J495" s="6">
        <f t="shared" si="7"/>
        <v>880758.16000000015</v>
      </c>
      <c r="K495" s="3">
        <v>0.26</v>
      </c>
    </row>
    <row r="496" spans="1:11" s="3" customFormat="1" ht="15" customHeight="1" x14ac:dyDescent="0.25">
      <c r="A496" s="3" t="s">
        <v>1509</v>
      </c>
      <c r="B496" s="3" t="s">
        <v>1529</v>
      </c>
      <c r="C496" s="3" t="s">
        <v>1530</v>
      </c>
      <c r="D496" s="3" t="s">
        <v>1531</v>
      </c>
      <c r="E496" s="3" t="s">
        <v>1437</v>
      </c>
      <c r="F496" s="3" t="s">
        <v>6</v>
      </c>
      <c r="G496" s="6">
        <v>972313792.98000002</v>
      </c>
      <c r="H496" s="6">
        <v>636029.24</v>
      </c>
      <c r="I496" s="6">
        <v>407246.03</v>
      </c>
      <c r="J496" s="6">
        <f t="shared" si="7"/>
        <v>228783.20999999996</v>
      </c>
      <c r="K496" s="3">
        <v>0.06</v>
      </c>
    </row>
    <row r="497" spans="1:11" s="3" customFormat="1" ht="15" customHeight="1" x14ac:dyDescent="0.25">
      <c r="A497" s="3" t="s">
        <v>1509</v>
      </c>
      <c r="B497" s="3" t="s">
        <v>1238</v>
      </c>
      <c r="C497" s="3" t="s">
        <v>1532</v>
      </c>
      <c r="D497" s="3" t="s">
        <v>1533</v>
      </c>
      <c r="E497" s="3" t="s">
        <v>5</v>
      </c>
      <c r="F497" s="3" t="s">
        <v>6</v>
      </c>
      <c r="G497" s="6">
        <v>922590820.22000003</v>
      </c>
      <c r="H497" s="6">
        <v>3191980.5</v>
      </c>
      <c r="I497" s="6">
        <v>2186477.4500000002</v>
      </c>
      <c r="J497" s="6">
        <f t="shared" si="7"/>
        <v>1005503.0499999998</v>
      </c>
      <c r="K497" s="3">
        <v>0.34</v>
      </c>
    </row>
    <row r="498" spans="1:11" s="3" customFormat="1" ht="15" customHeight="1" x14ac:dyDescent="0.25">
      <c r="A498" s="3" t="s">
        <v>1509</v>
      </c>
      <c r="B498" s="3" t="s">
        <v>1534</v>
      </c>
      <c r="C498" s="3" t="s">
        <v>1535</v>
      </c>
      <c r="D498" s="3" t="s">
        <v>1536</v>
      </c>
      <c r="E498" s="3" t="s">
        <v>1537</v>
      </c>
      <c r="F498" s="3" t="s">
        <v>6</v>
      </c>
      <c r="G498" s="6">
        <v>842286142.21000004</v>
      </c>
      <c r="H498" s="6">
        <v>3045973.64</v>
      </c>
      <c r="I498" s="6">
        <v>2183405.88</v>
      </c>
      <c r="J498" s="6">
        <f t="shared" si="7"/>
        <v>862567.76000000024</v>
      </c>
      <c r="K498" s="3">
        <v>0.36</v>
      </c>
    </row>
    <row r="499" spans="1:11" s="3" customFormat="1" ht="15" customHeight="1" x14ac:dyDescent="0.25">
      <c r="A499" s="3" t="s">
        <v>1509</v>
      </c>
      <c r="B499" s="3" t="s">
        <v>1538</v>
      </c>
      <c r="C499" s="3" t="s">
        <v>1539</v>
      </c>
      <c r="D499" s="3" t="s">
        <v>1540</v>
      </c>
      <c r="E499" s="3" t="s">
        <v>1541</v>
      </c>
      <c r="F499" s="3" t="s">
        <v>6</v>
      </c>
      <c r="G499" s="6">
        <v>776426770.87</v>
      </c>
      <c r="H499" s="6">
        <v>1016450.69</v>
      </c>
      <c r="I499" s="6">
        <v>670047.34</v>
      </c>
      <c r="J499" s="6">
        <f t="shared" si="7"/>
        <v>346403.35</v>
      </c>
      <c r="K499" s="3">
        <v>0.13</v>
      </c>
    </row>
    <row r="500" spans="1:11" s="3" customFormat="1" ht="15" customHeight="1" x14ac:dyDescent="0.25">
      <c r="A500" s="3" t="s">
        <v>1509</v>
      </c>
      <c r="B500" s="3" t="s">
        <v>1542</v>
      </c>
      <c r="C500" s="3" t="s">
        <v>1543</v>
      </c>
      <c r="D500" s="3" t="s">
        <v>1544</v>
      </c>
      <c r="E500" s="3" t="s">
        <v>5</v>
      </c>
      <c r="F500" s="3" t="s">
        <v>6</v>
      </c>
      <c r="G500" s="6">
        <v>768469913.91999996</v>
      </c>
      <c r="H500" s="6">
        <v>3619864.99</v>
      </c>
      <c r="I500" s="6">
        <v>2714902.54</v>
      </c>
      <c r="J500" s="6">
        <f t="shared" si="7"/>
        <v>904962.45000000019</v>
      </c>
      <c r="K500" s="3">
        <v>0.47</v>
      </c>
    </row>
    <row r="501" spans="1:11" s="3" customFormat="1" ht="15" customHeight="1" x14ac:dyDescent="0.25">
      <c r="A501" s="3" t="s">
        <v>1509</v>
      </c>
      <c r="B501" s="3" t="s">
        <v>662</v>
      </c>
      <c r="C501" s="3" t="s">
        <v>1545</v>
      </c>
      <c r="D501" s="3" t="s">
        <v>1546</v>
      </c>
      <c r="E501" s="3" t="s">
        <v>5</v>
      </c>
      <c r="F501" s="3" t="s">
        <v>6</v>
      </c>
      <c r="G501" s="6">
        <v>707377973.21000004</v>
      </c>
      <c r="H501" s="6">
        <v>443014.23</v>
      </c>
      <c r="I501" s="6">
        <v>232576.87</v>
      </c>
      <c r="J501" s="6">
        <f t="shared" si="7"/>
        <v>210437.36</v>
      </c>
      <c r="K501" s="3">
        <v>0.06</v>
      </c>
    </row>
    <row r="502" spans="1:11" s="3" customFormat="1" ht="15" customHeight="1" x14ac:dyDescent="0.25">
      <c r="A502" s="3" t="s">
        <v>1509</v>
      </c>
      <c r="B502" s="3" t="s">
        <v>1547</v>
      </c>
      <c r="C502" s="3" t="s">
        <v>1548</v>
      </c>
      <c r="D502" s="3" t="s">
        <v>1549</v>
      </c>
      <c r="E502" s="3" t="s">
        <v>5</v>
      </c>
      <c r="F502" s="3" t="s">
        <v>6</v>
      </c>
      <c r="G502" s="6">
        <v>539700847.77999997</v>
      </c>
      <c r="H502" s="6">
        <v>881120.38</v>
      </c>
      <c r="I502" s="6">
        <v>605164.23</v>
      </c>
      <c r="J502" s="6">
        <f t="shared" si="7"/>
        <v>275956.15000000002</v>
      </c>
      <c r="K502" s="3">
        <v>0.16</v>
      </c>
    </row>
    <row r="503" spans="1:11" s="3" customFormat="1" ht="15" customHeight="1" x14ac:dyDescent="0.25">
      <c r="A503" s="3" t="s">
        <v>1509</v>
      </c>
      <c r="B503" s="3" t="s">
        <v>1550</v>
      </c>
      <c r="C503" s="3" t="s">
        <v>1551</v>
      </c>
      <c r="D503" s="3" t="s">
        <v>1552</v>
      </c>
      <c r="E503" s="3" t="s">
        <v>566</v>
      </c>
      <c r="F503" s="3" t="s">
        <v>6</v>
      </c>
      <c r="G503" s="6">
        <v>537171554.65999997</v>
      </c>
      <c r="H503" s="6">
        <v>809627.94</v>
      </c>
      <c r="I503" s="6">
        <v>485482.35</v>
      </c>
      <c r="J503" s="6">
        <f t="shared" si="7"/>
        <v>324145.58999999997</v>
      </c>
      <c r="K503" s="3">
        <v>0.15</v>
      </c>
    </row>
    <row r="504" spans="1:11" s="3" customFormat="1" ht="15" customHeight="1" x14ac:dyDescent="0.25">
      <c r="A504" s="3" t="s">
        <v>1509</v>
      </c>
      <c r="B504" s="3" t="s">
        <v>1553</v>
      </c>
      <c r="C504" s="3" t="s">
        <v>1554</v>
      </c>
      <c r="D504" s="3" t="s">
        <v>1555</v>
      </c>
      <c r="E504" s="3" t="s">
        <v>5</v>
      </c>
      <c r="F504" s="3" t="s">
        <v>6</v>
      </c>
      <c r="G504" s="6">
        <v>500651650.64999998</v>
      </c>
      <c r="H504" s="6">
        <v>2379204.0099999998</v>
      </c>
      <c r="I504" s="6">
        <v>1784400.93</v>
      </c>
      <c r="J504" s="6">
        <f t="shared" si="7"/>
        <v>594803.07999999984</v>
      </c>
      <c r="K504" s="3">
        <v>0.47</v>
      </c>
    </row>
    <row r="505" spans="1:11" s="3" customFormat="1" ht="15" customHeight="1" x14ac:dyDescent="0.25">
      <c r="A505" s="3" t="s">
        <v>1509</v>
      </c>
      <c r="B505" s="3" t="s">
        <v>1556</v>
      </c>
      <c r="C505" s="3" t="s">
        <v>1557</v>
      </c>
      <c r="D505" s="3" t="s">
        <v>1558</v>
      </c>
      <c r="E505" s="3" t="s">
        <v>1559</v>
      </c>
      <c r="F505" s="3" t="s">
        <v>6</v>
      </c>
      <c r="G505" s="6">
        <v>452592569.97000003</v>
      </c>
      <c r="H505" s="6">
        <v>1534004.99</v>
      </c>
      <c r="I505" s="6">
        <v>1031205.05</v>
      </c>
      <c r="J505" s="6">
        <f t="shared" si="7"/>
        <v>502799.93999999994</v>
      </c>
      <c r="K505" s="3">
        <v>0.33</v>
      </c>
    </row>
    <row r="506" spans="1:11" s="3" customFormat="1" ht="15" customHeight="1" x14ac:dyDescent="0.25">
      <c r="A506" s="3" t="s">
        <v>1509</v>
      </c>
      <c r="B506" s="3" t="s">
        <v>219</v>
      </c>
      <c r="C506" s="3" t="s">
        <v>1560</v>
      </c>
      <c r="D506" s="3" t="s">
        <v>1561</v>
      </c>
      <c r="E506" s="3" t="s">
        <v>5</v>
      </c>
      <c r="F506" s="3" t="s">
        <v>6</v>
      </c>
      <c r="G506" s="6">
        <v>446486788.89999998</v>
      </c>
      <c r="H506" s="6">
        <v>1402108.84</v>
      </c>
      <c r="I506" s="6">
        <v>973038.59</v>
      </c>
      <c r="J506" s="6">
        <f t="shared" si="7"/>
        <v>429070.25000000012</v>
      </c>
      <c r="K506" s="3">
        <v>0.31</v>
      </c>
    </row>
    <row r="507" spans="1:11" s="3" customFormat="1" ht="15" customHeight="1" x14ac:dyDescent="0.25">
      <c r="A507" s="3" t="s">
        <v>1509</v>
      </c>
      <c r="B507" s="3" t="s">
        <v>1562</v>
      </c>
      <c r="C507" s="3" t="s">
        <v>1563</v>
      </c>
      <c r="D507" s="3" t="s">
        <v>1564</v>
      </c>
      <c r="E507" s="3" t="s">
        <v>5</v>
      </c>
      <c r="F507" s="3" t="s">
        <v>6</v>
      </c>
      <c r="G507" s="6">
        <v>415155277.5</v>
      </c>
      <c r="H507" s="6">
        <v>834198.98</v>
      </c>
      <c r="I507" s="6">
        <v>542962.24</v>
      </c>
      <c r="J507" s="6">
        <f t="shared" si="7"/>
        <v>291236.74</v>
      </c>
      <c r="K507" s="3">
        <v>0.2</v>
      </c>
    </row>
    <row r="508" spans="1:11" s="3" customFormat="1" ht="15" customHeight="1" x14ac:dyDescent="0.25">
      <c r="A508" s="3" t="s">
        <v>1509</v>
      </c>
      <c r="B508" s="3" t="s">
        <v>1565</v>
      </c>
      <c r="C508" s="3" t="s">
        <v>1566</v>
      </c>
      <c r="D508" s="3" t="s">
        <v>1567</v>
      </c>
      <c r="E508" s="3" t="s">
        <v>5</v>
      </c>
      <c r="F508" s="3" t="s">
        <v>6</v>
      </c>
      <c r="G508" s="6">
        <v>401405934.44</v>
      </c>
      <c r="H508" s="6">
        <v>784397.7</v>
      </c>
      <c r="I508" s="6">
        <v>532511.66</v>
      </c>
      <c r="J508" s="6">
        <f t="shared" si="7"/>
        <v>251886.03999999992</v>
      </c>
      <c r="K508" s="3">
        <v>0.19</v>
      </c>
    </row>
    <row r="509" spans="1:11" s="3" customFormat="1" ht="15" customHeight="1" x14ac:dyDescent="0.25">
      <c r="A509" s="3" t="s">
        <v>1509</v>
      </c>
      <c r="B509" s="3" t="s">
        <v>1238</v>
      </c>
      <c r="C509" s="3" t="s">
        <v>1568</v>
      </c>
      <c r="D509" s="3" t="s">
        <v>1569</v>
      </c>
      <c r="E509" s="3" t="s">
        <v>5</v>
      </c>
      <c r="F509" s="3" t="s">
        <v>6</v>
      </c>
      <c r="G509" s="6">
        <v>346600167.87</v>
      </c>
      <c r="H509" s="6">
        <v>500219.12</v>
      </c>
      <c r="I509" s="6">
        <v>223131.02</v>
      </c>
      <c r="J509" s="6">
        <f t="shared" si="7"/>
        <v>277088.09999999998</v>
      </c>
      <c r="K509" s="3">
        <v>0.14000000000000001</v>
      </c>
    </row>
    <row r="510" spans="1:11" s="3" customFormat="1" ht="15" customHeight="1" x14ac:dyDescent="0.25">
      <c r="A510" s="3" t="s">
        <v>1509</v>
      </c>
      <c r="B510" s="3" t="s">
        <v>1570</v>
      </c>
      <c r="C510" s="3" t="s">
        <v>1571</v>
      </c>
      <c r="D510" s="3" t="s">
        <v>1572</v>
      </c>
      <c r="E510" s="3" t="s">
        <v>5</v>
      </c>
      <c r="F510" s="3" t="s">
        <v>6</v>
      </c>
      <c r="G510" s="6">
        <v>329281107.87</v>
      </c>
      <c r="H510" s="6">
        <v>627461.01</v>
      </c>
      <c r="I510" s="6">
        <v>418939.94</v>
      </c>
      <c r="J510" s="6">
        <f t="shared" si="7"/>
        <v>208521.07</v>
      </c>
      <c r="K510" s="3">
        <v>0.19</v>
      </c>
    </row>
    <row r="511" spans="1:11" s="3" customFormat="1" ht="15" customHeight="1" x14ac:dyDescent="0.25">
      <c r="A511" s="3" t="s">
        <v>1509</v>
      </c>
      <c r="B511" s="3" t="s">
        <v>1573</v>
      </c>
      <c r="C511" s="3" t="s">
        <v>1574</v>
      </c>
      <c r="D511" s="3" t="s">
        <v>1575</v>
      </c>
      <c r="E511" s="3" t="s">
        <v>1576</v>
      </c>
      <c r="F511" s="3" t="s">
        <v>6</v>
      </c>
      <c r="G511" s="6">
        <v>268585060.75999999</v>
      </c>
      <c r="H511" s="6">
        <v>373820.85</v>
      </c>
      <c r="I511" s="6">
        <v>273506.09000000003</v>
      </c>
      <c r="J511" s="6">
        <f t="shared" si="7"/>
        <v>100314.75999999995</v>
      </c>
      <c r="K511" s="3">
        <v>0.13</v>
      </c>
    </row>
    <row r="512" spans="1:11" s="3" customFormat="1" ht="15" customHeight="1" x14ac:dyDescent="0.25">
      <c r="A512" s="3" t="s">
        <v>1509</v>
      </c>
      <c r="B512" s="3" t="s">
        <v>1238</v>
      </c>
      <c r="C512" s="3" t="s">
        <v>1577</v>
      </c>
      <c r="D512" s="3" t="s">
        <v>367</v>
      </c>
      <c r="E512" s="3" t="s">
        <v>1537</v>
      </c>
      <c r="F512" s="3" t="s">
        <v>6</v>
      </c>
      <c r="G512" s="6">
        <v>264070265.53</v>
      </c>
      <c r="H512" s="6">
        <v>638175.86</v>
      </c>
      <c r="I512" s="6">
        <v>426895.47</v>
      </c>
      <c r="J512" s="6">
        <f t="shared" si="7"/>
        <v>211280.39</v>
      </c>
      <c r="K512" s="3">
        <v>0.24</v>
      </c>
    </row>
    <row r="513" spans="1:11" s="3" customFormat="1" ht="15" customHeight="1" x14ac:dyDescent="0.25">
      <c r="A513" s="3" t="s">
        <v>1509</v>
      </c>
      <c r="B513" s="3" t="s">
        <v>662</v>
      </c>
      <c r="C513" s="3" t="s">
        <v>1578</v>
      </c>
      <c r="D513" s="3" t="s">
        <v>1579</v>
      </c>
      <c r="E513" s="3" t="s">
        <v>5</v>
      </c>
      <c r="F513" s="3" t="s">
        <v>6</v>
      </c>
      <c r="G513" s="6">
        <v>237376402.99000001</v>
      </c>
      <c r="H513" s="6">
        <v>271661.92</v>
      </c>
      <c r="I513" s="6">
        <v>157352.67000000001</v>
      </c>
      <c r="J513" s="6">
        <f t="shared" si="7"/>
        <v>114309.24999999997</v>
      </c>
      <c r="K513" s="3">
        <v>0.11</v>
      </c>
    </row>
    <row r="514" spans="1:11" s="3" customFormat="1" ht="15" customHeight="1" x14ac:dyDescent="0.25">
      <c r="A514" s="3" t="s">
        <v>1509</v>
      </c>
      <c r="B514" s="3" t="s">
        <v>1580</v>
      </c>
      <c r="C514" s="3" t="s">
        <v>1581</v>
      </c>
      <c r="D514" s="3" t="s">
        <v>1582</v>
      </c>
      <c r="E514" s="3" t="s">
        <v>393</v>
      </c>
      <c r="F514" s="3" t="s">
        <v>6</v>
      </c>
      <c r="G514" s="6">
        <v>230692596.25999999</v>
      </c>
      <c r="H514" s="6">
        <v>602932.09</v>
      </c>
      <c r="I514" s="6">
        <v>417264.88</v>
      </c>
      <c r="J514" s="6">
        <f t="shared" si="7"/>
        <v>185667.20999999996</v>
      </c>
      <c r="K514" s="3">
        <v>0.26</v>
      </c>
    </row>
    <row r="515" spans="1:11" s="3" customFormat="1" ht="15" customHeight="1" x14ac:dyDescent="0.25">
      <c r="A515" s="3" t="s">
        <v>1509</v>
      </c>
      <c r="B515" s="3" t="s">
        <v>1583</v>
      </c>
      <c r="C515" s="3" t="s">
        <v>1584</v>
      </c>
      <c r="D515" s="3" t="s">
        <v>1585</v>
      </c>
      <c r="E515" s="3" t="s">
        <v>5</v>
      </c>
      <c r="F515" s="3" t="s">
        <v>6</v>
      </c>
      <c r="G515" s="6">
        <v>219462632.31999999</v>
      </c>
      <c r="H515" s="6">
        <v>650475.41</v>
      </c>
      <c r="I515" s="6">
        <v>448974.29</v>
      </c>
      <c r="J515" s="6">
        <f t="shared" si="7"/>
        <v>201501.12000000005</v>
      </c>
      <c r="K515" s="3">
        <v>0.28999999999999998</v>
      </c>
    </row>
    <row r="516" spans="1:11" s="3" customFormat="1" ht="15" customHeight="1" x14ac:dyDescent="0.25">
      <c r="A516" s="3" t="s">
        <v>1509</v>
      </c>
      <c r="B516" s="3" t="s">
        <v>1586</v>
      </c>
      <c r="C516" s="3" t="s">
        <v>1587</v>
      </c>
      <c r="D516" s="3" t="s">
        <v>1588</v>
      </c>
      <c r="E516" s="3" t="s">
        <v>5</v>
      </c>
      <c r="F516" s="3" t="s">
        <v>6</v>
      </c>
      <c r="G516" s="6">
        <v>191628573.63999999</v>
      </c>
      <c r="H516" s="6">
        <v>503874.66</v>
      </c>
      <c r="I516" s="6">
        <v>348479.16</v>
      </c>
      <c r="J516" s="6">
        <f t="shared" ref="J516:J531" si="8">H516-I516</f>
        <v>155395.5</v>
      </c>
      <c r="K516" s="3">
        <v>0.26</v>
      </c>
    </row>
    <row r="517" spans="1:11" s="3" customFormat="1" ht="15" customHeight="1" x14ac:dyDescent="0.25">
      <c r="A517" s="3" t="s">
        <v>1509</v>
      </c>
      <c r="B517" s="3" t="s">
        <v>244</v>
      </c>
      <c r="C517" s="3" t="s">
        <v>1589</v>
      </c>
      <c r="D517" s="3" t="s">
        <v>1590</v>
      </c>
      <c r="E517" s="3" t="s">
        <v>5</v>
      </c>
      <c r="F517" s="3" t="s">
        <v>6</v>
      </c>
      <c r="G517" s="6">
        <v>181221594.09</v>
      </c>
      <c r="H517" s="6">
        <v>792447.7</v>
      </c>
      <c r="I517" s="6">
        <v>572314.49</v>
      </c>
      <c r="J517" s="6">
        <f t="shared" si="8"/>
        <v>220133.20999999996</v>
      </c>
      <c r="K517" s="3">
        <v>0.43</v>
      </c>
    </row>
    <row r="518" spans="1:11" s="3" customFormat="1" ht="15" customHeight="1" x14ac:dyDescent="0.25">
      <c r="A518" s="3" t="s">
        <v>1509</v>
      </c>
      <c r="B518" s="3" t="s">
        <v>1591</v>
      </c>
      <c r="C518" s="3" t="s">
        <v>1592</v>
      </c>
      <c r="D518" s="3" t="s">
        <v>1593</v>
      </c>
      <c r="E518" s="3" t="s">
        <v>209</v>
      </c>
      <c r="F518" s="3" t="s">
        <v>6</v>
      </c>
      <c r="G518" s="6">
        <v>178857387.33000001</v>
      </c>
      <c r="H518" s="6">
        <v>556216.81999999995</v>
      </c>
      <c r="I518" s="6">
        <v>390639.29</v>
      </c>
      <c r="J518" s="6">
        <f t="shared" si="8"/>
        <v>165577.52999999997</v>
      </c>
      <c r="K518" s="3">
        <v>0.31</v>
      </c>
    </row>
    <row r="519" spans="1:11" s="3" customFormat="1" ht="15" customHeight="1" x14ac:dyDescent="0.25">
      <c r="A519" s="3" t="s">
        <v>1509</v>
      </c>
      <c r="B519" s="3" t="s">
        <v>303</v>
      </c>
      <c r="C519" s="3" t="s">
        <v>1594</v>
      </c>
      <c r="D519" s="3" t="s">
        <v>1595</v>
      </c>
      <c r="E519" s="3" t="s">
        <v>1596</v>
      </c>
      <c r="F519" s="3" t="s">
        <v>6</v>
      </c>
      <c r="G519" s="6">
        <v>175185858.43000001</v>
      </c>
      <c r="H519" s="6">
        <v>565147.64</v>
      </c>
      <c r="I519" s="6">
        <v>395504.46</v>
      </c>
      <c r="J519" s="6">
        <f t="shared" si="8"/>
        <v>169643.18</v>
      </c>
      <c r="K519" s="3">
        <v>0.32</v>
      </c>
    </row>
    <row r="520" spans="1:11" s="3" customFormat="1" ht="15" customHeight="1" x14ac:dyDescent="0.25">
      <c r="A520" s="3" t="s">
        <v>1509</v>
      </c>
      <c r="B520" s="3" t="s">
        <v>1238</v>
      </c>
      <c r="C520" s="3" t="s">
        <v>1597</v>
      </c>
      <c r="D520" s="3" t="s">
        <v>1598</v>
      </c>
      <c r="E520" s="3" t="s">
        <v>5</v>
      </c>
      <c r="F520" s="3" t="s">
        <v>6</v>
      </c>
      <c r="G520" s="6">
        <v>139634548.84999999</v>
      </c>
      <c r="H520" s="6">
        <v>544810.67000000004</v>
      </c>
      <c r="I520" s="6">
        <v>385710.81</v>
      </c>
      <c r="J520" s="6">
        <f t="shared" si="8"/>
        <v>159099.86000000004</v>
      </c>
      <c r="K520" s="3">
        <v>0.39</v>
      </c>
    </row>
    <row r="521" spans="1:11" s="3" customFormat="1" ht="15" customHeight="1" x14ac:dyDescent="0.25">
      <c r="A521" s="3" t="s">
        <v>1509</v>
      </c>
      <c r="B521" s="3" t="s">
        <v>1238</v>
      </c>
      <c r="C521" s="3" t="s">
        <v>1599</v>
      </c>
      <c r="D521" s="3" t="s">
        <v>1600</v>
      </c>
      <c r="E521" s="3" t="s">
        <v>1596</v>
      </c>
      <c r="F521" s="3" t="s">
        <v>6</v>
      </c>
      <c r="G521" s="6">
        <v>98724531.930000007</v>
      </c>
      <c r="H521" s="6">
        <v>416720.05</v>
      </c>
      <c r="I521" s="6">
        <v>285843.17</v>
      </c>
      <c r="J521" s="6">
        <f t="shared" si="8"/>
        <v>130876.88</v>
      </c>
      <c r="K521" s="3">
        <v>0.42</v>
      </c>
    </row>
    <row r="522" spans="1:11" s="3" customFormat="1" ht="15" customHeight="1" x14ac:dyDescent="0.25">
      <c r="A522" s="3" t="s">
        <v>1509</v>
      </c>
      <c r="B522" s="3" t="s">
        <v>1601</v>
      </c>
      <c r="C522" s="3" t="s">
        <v>1602</v>
      </c>
      <c r="D522" s="3" t="s">
        <v>1603</v>
      </c>
      <c r="E522" s="3" t="s">
        <v>5</v>
      </c>
      <c r="F522" s="3" t="s">
        <v>6</v>
      </c>
      <c r="G522" s="6">
        <v>73029892.099999994</v>
      </c>
      <c r="H522" s="6">
        <v>173557.41</v>
      </c>
      <c r="I522" s="6">
        <v>129015.52</v>
      </c>
      <c r="J522" s="6">
        <f t="shared" si="8"/>
        <v>44541.89</v>
      </c>
      <c r="K522" s="3">
        <v>0.23</v>
      </c>
    </row>
    <row r="523" spans="1:11" s="3" customFormat="1" ht="15" customHeight="1" x14ac:dyDescent="0.25">
      <c r="A523" s="3" t="s">
        <v>1509</v>
      </c>
      <c r="B523" s="3" t="s">
        <v>1238</v>
      </c>
      <c r="C523" s="3" t="s">
        <v>1604</v>
      </c>
      <c r="D523" s="3" t="s">
        <v>1605</v>
      </c>
      <c r="E523" s="3" t="s">
        <v>5</v>
      </c>
      <c r="F523" s="3" t="s">
        <v>6</v>
      </c>
      <c r="G523" s="6">
        <v>68263313.379999995</v>
      </c>
      <c r="H523" s="6">
        <v>119966.54</v>
      </c>
      <c r="I523" s="6">
        <v>83177.7</v>
      </c>
      <c r="J523" s="6">
        <f t="shared" si="8"/>
        <v>36788.839999999997</v>
      </c>
      <c r="K523" s="3">
        <v>0.17</v>
      </c>
    </row>
    <row r="524" spans="1:11" s="3" customFormat="1" ht="15" customHeight="1" x14ac:dyDescent="0.25">
      <c r="A524" s="3" t="s">
        <v>1509</v>
      </c>
      <c r="B524" s="3" t="s">
        <v>920</v>
      </c>
      <c r="C524" s="3" t="s">
        <v>1606</v>
      </c>
      <c r="D524" s="3" t="s">
        <v>1607</v>
      </c>
      <c r="E524" s="3" t="s">
        <v>5</v>
      </c>
      <c r="F524" s="3" t="s">
        <v>6</v>
      </c>
      <c r="G524" s="6">
        <v>55551595.630000003</v>
      </c>
      <c r="H524" s="6">
        <v>116252.91</v>
      </c>
      <c r="I524" s="6">
        <v>82648.47</v>
      </c>
      <c r="J524" s="6">
        <f t="shared" si="8"/>
        <v>33604.44</v>
      </c>
      <c r="K524" s="3">
        <v>0.2</v>
      </c>
    </row>
    <row r="525" spans="1:11" s="3" customFormat="1" ht="15" customHeight="1" x14ac:dyDescent="0.25">
      <c r="A525" s="3" t="s">
        <v>1509</v>
      </c>
      <c r="B525" s="3" t="s">
        <v>1570</v>
      </c>
      <c r="C525" s="3" t="s">
        <v>1608</v>
      </c>
      <c r="D525" s="3" t="s">
        <v>1609</v>
      </c>
      <c r="E525" s="3" t="s">
        <v>5</v>
      </c>
      <c r="F525" s="3" t="s">
        <v>6</v>
      </c>
      <c r="G525" s="6">
        <v>34552488.439999998</v>
      </c>
      <c r="H525" s="6">
        <v>107495.27</v>
      </c>
      <c r="I525" s="6">
        <v>74636.649999999994</v>
      </c>
      <c r="J525" s="6">
        <f t="shared" si="8"/>
        <v>32858.62000000001</v>
      </c>
      <c r="K525" s="3">
        <v>0.31</v>
      </c>
    </row>
    <row r="526" spans="1:11" s="3" customFormat="1" ht="15" customHeight="1" x14ac:dyDescent="0.25">
      <c r="A526" s="3" t="s">
        <v>1509</v>
      </c>
      <c r="B526" s="3" t="s">
        <v>1610</v>
      </c>
      <c r="C526" s="3" t="s">
        <v>1611</v>
      </c>
      <c r="D526" s="3" t="s">
        <v>1612</v>
      </c>
      <c r="E526" s="3" t="s">
        <v>5</v>
      </c>
      <c r="F526" s="3" t="s">
        <v>6</v>
      </c>
      <c r="G526" s="6">
        <v>24015119.219999999</v>
      </c>
      <c r="H526" s="6">
        <v>91218.54</v>
      </c>
      <c r="I526" s="6">
        <v>61582.85</v>
      </c>
      <c r="J526" s="6">
        <f t="shared" si="8"/>
        <v>29635.689999999995</v>
      </c>
      <c r="K526" s="3">
        <v>0.37</v>
      </c>
    </row>
    <row r="527" spans="1:11" s="3" customFormat="1" ht="15" customHeight="1" x14ac:dyDescent="0.25">
      <c r="A527" s="3" t="s">
        <v>1509</v>
      </c>
      <c r="B527" s="3" t="s">
        <v>1613</v>
      </c>
      <c r="C527" s="3" t="s">
        <v>1614</v>
      </c>
      <c r="D527" s="3" t="s">
        <v>1615</v>
      </c>
      <c r="E527" s="3" t="s">
        <v>5</v>
      </c>
      <c r="F527" s="3" t="s">
        <v>6</v>
      </c>
      <c r="G527" s="6">
        <v>22718619.300000001</v>
      </c>
      <c r="H527" s="6">
        <v>68097.78</v>
      </c>
      <c r="I527" s="6">
        <v>40852.78</v>
      </c>
      <c r="J527" s="6">
        <f t="shared" si="8"/>
        <v>27245</v>
      </c>
      <c r="K527" s="3">
        <v>0.28999999999999998</v>
      </c>
    </row>
    <row r="528" spans="1:11" s="3" customFormat="1" ht="15" customHeight="1" x14ac:dyDescent="0.25">
      <c r="A528" s="3" t="s">
        <v>1509</v>
      </c>
      <c r="B528" s="3" t="s">
        <v>1616</v>
      </c>
      <c r="C528" s="3" t="s">
        <v>1617</v>
      </c>
      <c r="D528" s="3" t="s">
        <v>1618</v>
      </c>
      <c r="E528" s="3" t="s">
        <v>5</v>
      </c>
      <c r="F528" s="3" t="s">
        <v>6</v>
      </c>
      <c r="G528" s="6">
        <v>19955336.600000001</v>
      </c>
      <c r="H528" s="6">
        <v>86891.839999999997</v>
      </c>
      <c r="I528" s="6">
        <v>57386.92</v>
      </c>
      <c r="J528" s="6">
        <f t="shared" si="8"/>
        <v>29504.92</v>
      </c>
      <c r="K528" s="3">
        <v>0.43</v>
      </c>
    </row>
    <row r="529" spans="1:11" s="3" customFormat="1" ht="15" customHeight="1" x14ac:dyDescent="0.25">
      <c r="A529" s="3" t="s">
        <v>1509</v>
      </c>
      <c r="B529" s="3" t="s">
        <v>1619</v>
      </c>
      <c r="C529" s="3" t="s">
        <v>1620</v>
      </c>
      <c r="D529" s="3" t="s">
        <v>1621</v>
      </c>
      <c r="E529" s="3" t="s">
        <v>5</v>
      </c>
      <c r="F529" s="3" t="s">
        <v>6</v>
      </c>
      <c r="G529" s="6">
        <v>17720100.539999999</v>
      </c>
      <c r="H529" s="6">
        <v>63194.38</v>
      </c>
      <c r="I529" s="6">
        <v>42096.03</v>
      </c>
      <c r="J529" s="6">
        <f t="shared" si="8"/>
        <v>21098.35</v>
      </c>
      <c r="K529" s="3">
        <v>0.35</v>
      </c>
    </row>
    <row r="530" spans="1:11" s="3" customFormat="1" ht="15" customHeight="1" x14ac:dyDescent="0.25">
      <c r="A530" s="3" t="s">
        <v>1509</v>
      </c>
      <c r="B530" s="3" t="s">
        <v>1622</v>
      </c>
      <c r="C530" s="3" t="s">
        <v>1623</v>
      </c>
      <c r="D530" s="3" t="s">
        <v>1624</v>
      </c>
      <c r="E530" s="3" t="s">
        <v>5</v>
      </c>
      <c r="F530" s="3" t="s">
        <v>6</v>
      </c>
      <c r="G530" s="6">
        <v>353249.09</v>
      </c>
      <c r="H530" s="6">
        <v>4768.95</v>
      </c>
      <c r="I530" s="6">
        <v>3574.22</v>
      </c>
      <c r="J530" s="6">
        <f t="shared" si="8"/>
        <v>1194.73</v>
      </c>
      <c r="K530" s="3">
        <v>1.35</v>
      </c>
    </row>
    <row r="531" spans="1:11" s="3" customFormat="1" ht="15" customHeight="1" x14ac:dyDescent="0.25">
      <c r="A531" s="3" t="s">
        <v>1509</v>
      </c>
      <c r="B531" s="3" t="s">
        <v>1625</v>
      </c>
      <c r="C531" s="3" t="s">
        <v>1626</v>
      </c>
      <c r="D531" s="3" t="s">
        <v>1627</v>
      </c>
      <c r="E531" s="3" t="s">
        <v>5</v>
      </c>
      <c r="F531" s="3" t="s">
        <v>6</v>
      </c>
      <c r="G531" s="6">
        <v>187943.15</v>
      </c>
      <c r="H531" s="6">
        <v>939.83</v>
      </c>
      <c r="I531" s="6">
        <v>751.77</v>
      </c>
      <c r="J531" s="6">
        <f t="shared" si="8"/>
        <v>188.06000000000006</v>
      </c>
      <c r="K531" s="3">
        <v>0.5</v>
      </c>
    </row>
    <row r="532" spans="1:11" s="3" customFormat="1" ht="15" customHeight="1" x14ac:dyDescent="0.25">
      <c r="D532" s="4" t="s">
        <v>1629</v>
      </c>
      <c r="E532" s="4"/>
      <c r="F532" s="4"/>
      <c r="G532" s="7">
        <f t="shared" ref="G532:K532" si="9">SUM(G3:G531)</f>
        <v>5043550125046.7373</v>
      </c>
      <c r="H532" s="7">
        <f t="shared" si="9"/>
        <v>671939800.13000047</v>
      </c>
      <c r="I532" s="7">
        <f t="shared" si="9"/>
        <v>298601918.36000007</v>
      </c>
      <c r="J532" s="7">
        <f t="shared" si="9"/>
        <v>373337881.76999992</v>
      </c>
      <c r="K532" s="4">
        <f t="shared" si="9"/>
        <v>120.37000000000002</v>
      </c>
    </row>
    <row r="533" spans="1:11" s="3" customFormat="1" ht="15" customHeight="1" x14ac:dyDescent="0.25">
      <c r="G533" s="6"/>
      <c r="H533" s="6"/>
      <c r="I533" s="6"/>
      <c r="J533" s="6"/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Sheet1!Print_Titles</vt:lpstr>
      <vt:lpstr>Sheet1!Query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KJG</dc:creator>
  <cp:lastModifiedBy>Ketan Gondalia</cp:lastModifiedBy>
  <dcterms:created xsi:type="dcterms:W3CDTF">2024-09-10T07:16:46Z</dcterms:created>
  <dcterms:modified xsi:type="dcterms:W3CDTF">2026-07-12T07:24:04Z</dcterms:modified>
</cp:coreProperties>
</file>